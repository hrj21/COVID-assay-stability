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.thecrick.org\flowcytometry\working\Projects\COVID\COVID-ELISA\Anas SETUPS\"/>
    </mc:Choice>
  </mc:AlternateContent>
  <bookViews>
    <workbookView xWindow="0" yWindow="0" windowWidth="28800" windowHeight="14130" activeTab="4"/>
  </bookViews>
  <sheets>
    <sheet name="TEST1" sheetId="4" r:id="rId1"/>
    <sheet name="TEST2" sheetId="2" r:id="rId2"/>
    <sheet name="TEST3" sheetId="3" r:id="rId3"/>
    <sheet name="TEST4" sheetId="1" r:id="rId4"/>
    <sheet name="TES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2" i="5" l="1"/>
  <c r="Z32" i="5"/>
  <c r="Y32" i="5"/>
  <c r="X32" i="5"/>
  <c r="W32" i="5"/>
  <c r="V32" i="5"/>
  <c r="U32" i="5"/>
  <c r="AD25" i="5" s="1"/>
  <c r="T32" i="5"/>
  <c r="S32" i="5"/>
  <c r="R32" i="5"/>
  <c r="Q32" i="5"/>
  <c r="P32" i="5"/>
  <c r="AA31" i="5"/>
  <c r="Z31" i="5"/>
  <c r="Y31" i="5"/>
  <c r="X31" i="5"/>
  <c r="W31" i="5"/>
  <c r="V31" i="5"/>
  <c r="U31" i="5"/>
  <c r="T31" i="5"/>
  <c r="S31" i="5"/>
  <c r="R31" i="5"/>
  <c r="Q31" i="5"/>
  <c r="P31" i="5"/>
  <c r="AA30" i="5"/>
  <c r="Z30" i="5"/>
  <c r="Y30" i="5"/>
  <c r="X30" i="5"/>
  <c r="W30" i="5"/>
  <c r="V30" i="5"/>
  <c r="U30" i="5"/>
  <c r="T30" i="5"/>
  <c r="S30" i="5"/>
  <c r="R30" i="5"/>
  <c r="Q30" i="5"/>
  <c r="P30" i="5"/>
  <c r="AA29" i="5"/>
  <c r="Z29" i="5"/>
  <c r="Y29" i="5"/>
  <c r="X29" i="5"/>
  <c r="W29" i="5"/>
  <c r="V29" i="5"/>
  <c r="U29" i="5"/>
  <c r="T29" i="5"/>
  <c r="S29" i="5"/>
  <c r="R29" i="5"/>
  <c r="Q29" i="5"/>
  <c r="P29" i="5"/>
  <c r="AA28" i="5"/>
  <c r="Z28" i="5"/>
  <c r="Y28" i="5"/>
  <c r="X28" i="5"/>
  <c r="W28" i="5"/>
  <c r="V28" i="5"/>
  <c r="U28" i="5"/>
  <c r="T28" i="5"/>
  <c r="S28" i="5"/>
  <c r="R28" i="5"/>
  <c r="Q28" i="5"/>
  <c r="P28" i="5"/>
  <c r="AA27" i="5"/>
  <c r="Z27" i="5"/>
  <c r="Y27" i="5"/>
  <c r="X27" i="5"/>
  <c r="W27" i="5"/>
  <c r="V27" i="5"/>
  <c r="U27" i="5"/>
  <c r="T27" i="5"/>
  <c r="S27" i="5"/>
  <c r="R27" i="5"/>
  <c r="Q27" i="5"/>
  <c r="P27" i="5"/>
  <c r="AA26" i="5"/>
  <c r="Z26" i="5"/>
  <c r="Y26" i="5"/>
  <c r="X26" i="5"/>
  <c r="W26" i="5"/>
  <c r="V26" i="5"/>
  <c r="U26" i="5"/>
  <c r="T26" i="5"/>
  <c r="S26" i="5"/>
  <c r="R26" i="5"/>
  <c r="Q26" i="5"/>
  <c r="P26" i="5"/>
  <c r="AA25" i="5"/>
  <c r="Z25" i="5"/>
  <c r="Y25" i="5"/>
  <c r="X25" i="5"/>
  <c r="W25" i="5"/>
  <c r="V25" i="5"/>
  <c r="U25" i="5"/>
  <c r="AD26" i="5" s="1"/>
  <c r="T25" i="5"/>
  <c r="S25" i="5"/>
  <c r="R25" i="5"/>
  <c r="Q25" i="5"/>
  <c r="P25" i="5"/>
  <c r="AA22" i="5"/>
  <c r="Z22" i="5"/>
  <c r="Y22" i="5"/>
  <c r="X22" i="5"/>
  <c r="W22" i="5"/>
  <c r="V22" i="5"/>
  <c r="U22" i="5"/>
  <c r="T22" i="5"/>
  <c r="S22" i="5"/>
  <c r="R22" i="5"/>
  <c r="Q22" i="5"/>
  <c r="P22" i="5"/>
  <c r="AA21" i="5"/>
  <c r="Z21" i="5"/>
  <c r="Y21" i="5"/>
  <c r="X21" i="5"/>
  <c r="W21" i="5"/>
  <c r="V21" i="5"/>
  <c r="U21" i="5"/>
  <c r="AD15" i="5" s="1"/>
  <c r="T21" i="5"/>
  <c r="S21" i="5"/>
  <c r="R21" i="5"/>
  <c r="Q21" i="5"/>
  <c r="P21" i="5"/>
  <c r="AA20" i="5"/>
  <c r="Z20" i="5"/>
  <c r="Y20" i="5"/>
  <c r="X20" i="5"/>
  <c r="W20" i="5"/>
  <c r="V20" i="5"/>
  <c r="U20" i="5"/>
  <c r="T20" i="5"/>
  <c r="S20" i="5"/>
  <c r="R20" i="5"/>
  <c r="Q20" i="5"/>
  <c r="P20" i="5"/>
  <c r="AA19" i="5"/>
  <c r="Z19" i="5"/>
  <c r="Y19" i="5"/>
  <c r="X19" i="5"/>
  <c r="W19" i="5"/>
  <c r="V19" i="5"/>
  <c r="U19" i="5"/>
  <c r="T19" i="5"/>
  <c r="S19" i="5"/>
  <c r="R19" i="5"/>
  <c r="Q19" i="5"/>
  <c r="P19" i="5"/>
  <c r="AA18" i="5"/>
  <c r="Z18" i="5"/>
  <c r="Y18" i="5"/>
  <c r="X18" i="5"/>
  <c r="W18" i="5"/>
  <c r="V18" i="5"/>
  <c r="U18" i="5"/>
  <c r="T18" i="5"/>
  <c r="S18" i="5"/>
  <c r="R18" i="5"/>
  <c r="Q18" i="5"/>
  <c r="P18" i="5"/>
  <c r="AA17" i="5"/>
  <c r="Z17" i="5"/>
  <c r="Y17" i="5"/>
  <c r="X17" i="5"/>
  <c r="W17" i="5"/>
  <c r="V17" i="5"/>
  <c r="U17" i="5"/>
  <c r="T17" i="5"/>
  <c r="S17" i="5"/>
  <c r="R17" i="5"/>
  <c r="Q17" i="5"/>
  <c r="P17" i="5"/>
  <c r="AA16" i="5"/>
  <c r="Z16" i="5"/>
  <c r="Y16" i="5"/>
  <c r="X16" i="5"/>
  <c r="W16" i="5"/>
  <c r="V16" i="5"/>
  <c r="U16" i="5"/>
  <c r="T16" i="5"/>
  <c r="S16" i="5"/>
  <c r="R16" i="5"/>
  <c r="Q16" i="5"/>
  <c r="P16" i="5"/>
  <c r="AA15" i="5"/>
  <c r="Z15" i="5"/>
  <c r="Y15" i="5"/>
  <c r="X15" i="5"/>
  <c r="W15" i="5"/>
  <c r="V15" i="5"/>
  <c r="U15" i="5"/>
  <c r="AD16" i="5" s="1"/>
  <c r="T15" i="5"/>
  <c r="S15" i="5"/>
  <c r="R15" i="5"/>
  <c r="Q15" i="5"/>
  <c r="P15" i="5"/>
  <c r="AA12" i="5"/>
  <c r="Z12" i="5"/>
  <c r="Y12" i="5"/>
  <c r="X12" i="5"/>
  <c r="W12" i="5"/>
  <c r="V12" i="5"/>
  <c r="U12" i="5"/>
  <c r="T12" i="5"/>
  <c r="S12" i="5"/>
  <c r="R12" i="5"/>
  <c r="Q12" i="5"/>
  <c r="P12" i="5"/>
  <c r="AA11" i="5"/>
  <c r="Z11" i="5"/>
  <c r="Y11" i="5"/>
  <c r="X11" i="5"/>
  <c r="W11" i="5"/>
  <c r="V11" i="5"/>
  <c r="U11" i="5"/>
  <c r="AD5" i="5" s="1"/>
  <c r="T11" i="5"/>
  <c r="S11" i="5"/>
  <c r="R11" i="5"/>
  <c r="Q11" i="5"/>
  <c r="P11" i="5"/>
  <c r="AA10" i="5"/>
  <c r="Z10" i="5"/>
  <c r="Y10" i="5"/>
  <c r="X10" i="5"/>
  <c r="W10" i="5"/>
  <c r="V10" i="5"/>
  <c r="U10" i="5"/>
  <c r="T10" i="5"/>
  <c r="S10" i="5"/>
  <c r="R10" i="5"/>
  <c r="Q10" i="5"/>
  <c r="P10" i="5"/>
  <c r="AA9" i="5"/>
  <c r="Z9" i="5"/>
  <c r="Y9" i="5"/>
  <c r="X9" i="5"/>
  <c r="W9" i="5"/>
  <c r="V9" i="5"/>
  <c r="U9" i="5"/>
  <c r="T9" i="5"/>
  <c r="S9" i="5"/>
  <c r="R9" i="5"/>
  <c r="Q9" i="5"/>
  <c r="P9" i="5"/>
  <c r="AA8" i="5"/>
  <c r="Z8" i="5"/>
  <c r="Y8" i="5"/>
  <c r="X8" i="5"/>
  <c r="W8" i="5"/>
  <c r="V8" i="5"/>
  <c r="U8" i="5"/>
  <c r="T8" i="5"/>
  <c r="S8" i="5"/>
  <c r="R8" i="5"/>
  <c r="Q8" i="5"/>
  <c r="P8" i="5"/>
  <c r="AA7" i="5"/>
  <c r="Z7" i="5"/>
  <c r="Y7" i="5"/>
  <c r="X7" i="5"/>
  <c r="W7" i="5"/>
  <c r="V7" i="5"/>
  <c r="U7" i="5"/>
  <c r="T7" i="5"/>
  <c r="S7" i="5"/>
  <c r="R7" i="5"/>
  <c r="Q7" i="5"/>
  <c r="P7" i="5"/>
  <c r="AA6" i="5"/>
  <c r="Z6" i="5"/>
  <c r="Y6" i="5"/>
  <c r="X6" i="5"/>
  <c r="W6" i="5"/>
  <c r="V6" i="5"/>
  <c r="U6" i="5"/>
  <c r="T6" i="5"/>
  <c r="S6" i="5"/>
  <c r="R6" i="5"/>
  <c r="Q6" i="5"/>
  <c r="P6" i="5"/>
  <c r="AA5" i="5"/>
  <c r="AD6" i="5" s="1"/>
  <c r="Z5" i="5"/>
  <c r="Y5" i="5"/>
  <c r="X5" i="5"/>
  <c r="W5" i="5"/>
  <c r="V5" i="5"/>
  <c r="U5" i="5"/>
  <c r="T5" i="5"/>
  <c r="S5" i="5"/>
  <c r="R5" i="5"/>
  <c r="Q5" i="5"/>
  <c r="P5" i="5"/>
  <c r="AA32" i="4"/>
  <c r="Z32" i="4"/>
  <c r="Y32" i="4"/>
  <c r="X32" i="4"/>
  <c r="W32" i="4"/>
  <c r="V32" i="4"/>
  <c r="U32" i="4"/>
  <c r="T32" i="4"/>
  <c r="S32" i="4"/>
  <c r="R32" i="4"/>
  <c r="Q32" i="4"/>
  <c r="P32" i="4"/>
  <c r="AA31" i="4"/>
  <c r="Z31" i="4"/>
  <c r="Y31" i="4"/>
  <c r="X31" i="4"/>
  <c r="W31" i="4"/>
  <c r="V31" i="4"/>
  <c r="U31" i="4"/>
  <c r="T31" i="4"/>
  <c r="S31" i="4"/>
  <c r="R31" i="4"/>
  <c r="Q31" i="4"/>
  <c r="P31" i="4"/>
  <c r="AA30" i="4"/>
  <c r="Z30" i="4"/>
  <c r="Y30" i="4"/>
  <c r="X30" i="4"/>
  <c r="W30" i="4"/>
  <c r="V30" i="4"/>
  <c r="U30" i="4"/>
  <c r="T30" i="4"/>
  <c r="S30" i="4"/>
  <c r="R30" i="4"/>
  <c r="Q30" i="4"/>
  <c r="P30" i="4"/>
  <c r="AA29" i="4"/>
  <c r="Z29" i="4"/>
  <c r="Y29" i="4"/>
  <c r="X29" i="4"/>
  <c r="W29" i="4"/>
  <c r="V29" i="4"/>
  <c r="U29" i="4"/>
  <c r="T29" i="4"/>
  <c r="S29" i="4"/>
  <c r="R29" i="4"/>
  <c r="Q29" i="4"/>
  <c r="P29" i="4"/>
  <c r="AA28" i="4"/>
  <c r="Z28" i="4"/>
  <c r="Y28" i="4"/>
  <c r="X28" i="4"/>
  <c r="W28" i="4"/>
  <c r="V28" i="4"/>
  <c r="U28" i="4"/>
  <c r="T28" i="4"/>
  <c r="S28" i="4"/>
  <c r="R28" i="4"/>
  <c r="Q28" i="4"/>
  <c r="P28" i="4"/>
  <c r="AA27" i="4"/>
  <c r="Z27" i="4"/>
  <c r="Y27" i="4"/>
  <c r="X27" i="4"/>
  <c r="W27" i="4"/>
  <c r="V27" i="4"/>
  <c r="U27" i="4"/>
  <c r="T27" i="4"/>
  <c r="S27" i="4"/>
  <c r="R27" i="4"/>
  <c r="Q27" i="4"/>
  <c r="P27" i="4"/>
  <c r="AA26" i="4"/>
  <c r="Z26" i="4"/>
  <c r="Y26" i="4"/>
  <c r="X26" i="4"/>
  <c r="W26" i="4"/>
  <c r="V26" i="4"/>
  <c r="U26" i="4"/>
  <c r="T26" i="4"/>
  <c r="S26" i="4"/>
  <c r="R26" i="4"/>
  <c r="Q26" i="4"/>
  <c r="P26" i="4"/>
  <c r="AA25" i="4"/>
  <c r="Z25" i="4"/>
  <c r="Y25" i="4"/>
  <c r="X25" i="4"/>
  <c r="W25" i="4"/>
  <c r="V25" i="4"/>
  <c r="U25" i="4"/>
  <c r="T25" i="4"/>
  <c r="S25" i="4"/>
  <c r="R25" i="4"/>
  <c r="Q25" i="4"/>
  <c r="P25" i="4"/>
  <c r="AA22" i="4"/>
  <c r="Z22" i="4"/>
  <c r="Y22" i="4"/>
  <c r="X22" i="4"/>
  <c r="W22" i="4"/>
  <c r="V22" i="4"/>
  <c r="U22" i="4"/>
  <c r="T22" i="4"/>
  <c r="S22" i="4"/>
  <c r="R22" i="4"/>
  <c r="Q22" i="4"/>
  <c r="P22" i="4"/>
  <c r="AA21" i="4"/>
  <c r="Z21" i="4"/>
  <c r="Y21" i="4"/>
  <c r="X21" i="4"/>
  <c r="W21" i="4"/>
  <c r="V21" i="4"/>
  <c r="U21" i="4"/>
  <c r="T21" i="4"/>
  <c r="S21" i="4"/>
  <c r="R21" i="4"/>
  <c r="Q21" i="4"/>
  <c r="P21" i="4"/>
  <c r="AA20" i="4"/>
  <c r="Z20" i="4"/>
  <c r="Y20" i="4"/>
  <c r="X20" i="4"/>
  <c r="W20" i="4"/>
  <c r="V20" i="4"/>
  <c r="U20" i="4"/>
  <c r="T20" i="4"/>
  <c r="S20" i="4"/>
  <c r="R20" i="4"/>
  <c r="Q20" i="4"/>
  <c r="P20" i="4"/>
  <c r="AA19" i="4"/>
  <c r="Z19" i="4"/>
  <c r="Y19" i="4"/>
  <c r="X19" i="4"/>
  <c r="W19" i="4"/>
  <c r="V19" i="4"/>
  <c r="U19" i="4"/>
  <c r="T19" i="4"/>
  <c r="S19" i="4"/>
  <c r="R19" i="4"/>
  <c r="Q19" i="4"/>
  <c r="P19" i="4"/>
  <c r="AA18" i="4"/>
  <c r="Z18" i="4"/>
  <c r="Y18" i="4"/>
  <c r="X18" i="4"/>
  <c r="W18" i="4"/>
  <c r="V18" i="4"/>
  <c r="U18" i="4"/>
  <c r="T18" i="4"/>
  <c r="S18" i="4"/>
  <c r="R18" i="4"/>
  <c r="Q18" i="4"/>
  <c r="P18" i="4"/>
  <c r="AA17" i="4"/>
  <c r="Z17" i="4"/>
  <c r="Y17" i="4"/>
  <c r="X17" i="4"/>
  <c r="W17" i="4"/>
  <c r="V17" i="4"/>
  <c r="U17" i="4"/>
  <c r="T17" i="4"/>
  <c r="S17" i="4"/>
  <c r="R17" i="4"/>
  <c r="Q17" i="4"/>
  <c r="P17" i="4"/>
  <c r="AA16" i="4"/>
  <c r="Z16" i="4"/>
  <c r="Y16" i="4"/>
  <c r="X16" i="4"/>
  <c r="W16" i="4"/>
  <c r="V16" i="4"/>
  <c r="U16" i="4"/>
  <c r="T16" i="4"/>
  <c r="S16" i="4"/>
  <c r="R16" i="4"/>
  <c r="Q16" i="4"/>
  <c r="P16" i="4"/>
  <c r="AA15" i="4"/>
  <c r="Z15" i="4"/>
  <c r="Y15" i="4"/>
  <c r="X15" i="4"/>
  <c r="W15" i="4"/>
  <c r="V15" i="4"/>
  <c r="U15" i="4"/>
  <c r="T15" i="4"/>
  <c r="S15" i="4"/>
  <c r="R15" i="4"/>
  <c r="Q15" i="4"/>
  <c r="P15" i="4"/>
  <c r="AA12" i="4"/>
  <c r="Z12" i="4"/>
  <c r="Y12" i="4"/>
  <c r="X12" i="4"/>
  <c r="W12" i="4"/>
  <c r="V12" i="4"/>
  <c r="U12" i="4"/>
  <c r="T12" i="4"/>
  <c r="S12" i="4"/>
  <c r="R12" i="4"/>
  <c r="Q12" i="4"/>
  <c r="P12" i="4"/>
  <c r="AA11" i="4"/>
  <c r="Z11" i="4"/>
  <c r="Y11" i="4"/>
  <c r="X11" i="4"/>
  <c r="W11" i="4"/>
  <c r="V11" i="4"/>
  <c r="U11" i="4"/>
  <c r="AD5" i="4" s="1"/>
  <c r="T11" i="4"/>
  <c r="S11" i="4"/>
  <c r="R11" i="4"/>
  <c r="Q11" i="4"/>
  <c r="P11" i="4"/>
  <c r="AA10" i="4"/>
  <c r="Z10" i="4"/>
  <c r="Y10" i="4"/>
  <c r="X10" i="4"/>
  <c r="W10" i="4"/>
  <c r="V10" i="4"/>
  <c r="U10" i="4"/>
  <c r="T10" i="4"/>
  <c r="S10" i="4"/>
  <c r="R10" i="4"/>
  <c r="Q10" i="4"/>
  <c r="P10" i="4"/>
  <c r="AA9" i="4"/>
  <c r="Z9" i="4"/>
  <c r="Y9" i="4"/>
  <c r="X9" i="4"/>
  <c r="W9" i="4"/>
  <c r="V9" i="4"/>
  <c r="U9" i="4"/>
  <c r="T9" i="4"/>
  <c r="S9" i="4"/>
  <c r="R9" i="4"/>
  <c r="Q9" i="4"/>
  <c r="P9" i="4"/>
  <c r="AA8" i="4"/>
  <c r="Z8" i="4"/>
  <c r="Y8" i="4"/>
  <c r="X8" i="4"/>
  <c r="W8" i="4"/>
  <c r="V8" i="4"/>
  <c r="U8" i="4"/>
  <c r="T8" i="4"/>
  <c r="S8" i="4"/>
  <c r="R8" i="4"/>
  <c r="Q8" i="4"/>
  <c r="P8" i="4"/>
  <c r="AA7" i="4"/>
  <c r="Z7" i="4"/>
  <c r="Y7" i="4"/>
  <c r="X7" i="4"/>
  <c r="W7" i="4"/>
  <c r="V7" i="4"/>
  <c r="U7" i="4"/>
  <c r="T7" i="4"/>
  <c r="S7" i="4"/>
  <c r="R7" i="4"/>
  <c r="Q7" i="4"/>
  <c r="P7" i="4"/>
  <c r="AA6" i="4"/>
  <c r="Z6" i="4"/>
  <c r="Y6" i="4"/>
  <c r="X6" i="4"/>
  <c r="W6" i="4"/>
  <c r="V6" i="4"/>
  <c r="U6" i="4"/>
  <c r="T6" i="4"/>
  <c r="S6" i="4"/>
  <c r="R6" i="4"/>
  <c r="Q6" i="4"/>
  <c r="P6" i="4"/>
  <c r="AA5" i="4"/>
  <c r="Z5" i="4"/>
  <c r="Y5" i="4"/>
  <c r="X5" i="4"/>
  <c r="W5" i="4"/>
  <c r="V5" i="4"/>
  <c r="U5" i="4"/>
  <c r="T5" i="4"/>
  <c r="S5" i="4"/>
  <c r="R5" i="4"/>
  <c r="Q5" i="4"/>
  <c r="P5" i="4"/>
  <c r="AA32" i="3"/>
  <c r="Z32" i="3"/>
  <c r="Y32" i="3"/>
  <c r="X32" i="3"/>
  <c r="W32" i="3"/>
  <c r="V32" i="3"/>
  <c r="U32" i="3"/>
  <c r="T32" i="3"/>
  <c r="S32" i="3"/>
  <c r="R32" i="3"/>
  <c r="Q32" i="3"/>
  <c r="P32" i="3"/>
  <c r="AA31" i="3"/>
  <c r="Z31" i="3"/>
  <c r="Y31" i="3"/>
  <c r="X31" i="3"/>
  <c r="W31" i="3"/>
  <c r="V31" i="3"/>
  <c r="U31" i="3"/>
  <c r="T31" i="3"/>
  <c r="S31" i="3"/>
  <c r="R31" i="3"/>
  <c r="Q31" i="3"/>
  <c r="P31" i="3"/>
  <c r="AA30" i="3"/>
  <c r="Z30" i="3"/>
  <c r="Y30" i="3"/>
  <c r="X30" i="3"/>
  <c r="W30" i="3"/>
  <c r="V30" i="3"/>
  <c r="U30" i="3"/>
  <c r="T30" i="3"/>
  <c r="S30" i="3"/>
  <c r="R30" i="3"/>
  <c r="Q30" i="3"/>
  <c r="P30" i="3"/>
  <c r="AA29" i="3"/>
  <c r="Z29" i="3"/>
  <c r="Y29" i="3"/>
  <c r="X29" i="3"/>
  <c r="W29" i="3"/>
  <c r="V29" i="3"/>
  <c r="U29" i="3"/>
  <c r="T29" i="3"/>
  <c r="S29" i="3"/>
  <c r="R29" i="3"/>
  <c r="Q29" i="3"/>
  <c r="P29" i="3"/>
  <c r="AA28" i="3"/>
  <c r="Z28" i="3"/>
  <c r="Y28" i="3"/>
  <c r="X28" i="3"/>
  <c r="W28" i="3"/>
  <c r="V28" i="3"/>
  <c r="U28" i="3"/>
  <c r="T28" i="3"/>
  <c r="S28" i="3"/>
  <c r="R28" i="3"/>
  <c r="Q28" i="3"/>
  <c r="P28" i="3"/>
  <c r="AA27" i="3"/>
  <c r="Z27" i="3"/>
  <c r="Y27" i="3"/>
  <c r="X27" i="3"/>
  <c r="W27" i="3"/>
  <c r="V27" i="3"/>
  <c r="U27" i="3"/>
  <c r="T27" i="3"/>
  <c r="S27" i="3"/>
  <c r="R27" i="3"/>
  <c r="Q27" i="3"/>
  <c r="P27" i="3"/>
  <c r="AA26" i="3"/>
  <c r="Z26" i="3"/>
  <c r="Y26" i="3"/>
  <c r="X26" i="3"/>
  <c r="W26" i="3"/>
  <c r="V26" i="3"/>
  <c r="U26" i="3"/>
  <c r="T26" i="3"/>
  <c r="S26" i="3"/>
  <c r="R26" i="3"/>
  <c r="Q26" i="3"/>
  <c r="P26" i="3"/>
  <c r="AA25" i="3"/>
  <c r="Z25" i="3"/>
  <c r="Y25" i="3"/>
  <c r="X25" i="3"/>
  <c r="W25" i="3"/>
  <c r="V25" i="3"/>
  <c r="U25" i="3"/>
  <c r="T25" i="3"/>
  <c r="S25" i="3"/>
  <c r="R25" i="3"/>
  <c r="Q25" i="3"/>
  <c r="P25" i="3"/>
  <c r="AA22" i="3"/>
  <c r="Z22" i="3"/>
  <c r="Y22" i="3"/>
  <c r="X22" i="3"/>
  <c r="W22" i="3"/>
  <c r="V22" i="3"/>
  <c r="U22" i="3"/>
  <c r="T22" i="3"/>
  <c r="S22" i="3"/>
  <c r="R22" i="3"/>
  <c r="Q22" i="3"/>
  <c r="P22" i="3"/>
  <c r="AA21" i="3"/>
  <c r="Z21" i="3"/>
  <c r="Y21" i="3"/>
  <c r="X21" i="3"/>
  <c r="W21" i="3"/>
  <c r="V21" i="3"/>
  <c r="U21" i="3"/>
  <c r="AD15" i="3" s="1"/>
  <c r="T21" i="3"/>
  <c r="S21" i="3"/>
  <c r="R21" i="3"/>
  <c r="Q21" i="3"/>
  <c r="P21" i="3"/>
  <c r="AA20" i="3"/>
  <c r="Z20" i="3"/>
  <c r="Y20" i="3"/>
  <c r="X20" i="3"/>
  <c r="W20" i="3"/>
  <c r="V20" i="3"/>
  <c r="U20" i="3"/>
  <c r="T20" i="3"/>
  <c r="S20" i="3"/>
  <c r="R20" i="3"/>
  <c r="Q20" i="3"/>
  <c r="P20" i="3"/>
  <c r="AA19" i="3"/>
  <c r="Z19" i="3"/>
  <c r="Y19" i="3"/>
  <c r="X19" i="3"/>
  <c r="W19" i="3"/>
  <c r="V19" i="3"/>
  <c r="U19" i="3"/>
  <c r="T19" i="3"/>
  <c r="S19" i="3"/>
  <c r="R19" i="3"/>
  <c r="Q19" i="3"/>
  <c r="P19" i="3"/>
  <c r="AA18" i="3"/>
  <c r="Z18" i="3"/>
  <c r="Y18" i="3"/>
  <c r="X18" i="3"/>
  <c r="W18" i="3"/>
  <c r="V18" i="3"/>
  <c r="U18" i="3"/>
  <c r="T18" i="3"/>
  <c r="S18" i="3"/>
  <c r="R18" i="3"/>
  <c r="Q18" i="3"/>
  <c r="P18" i="3"/>
  <c r="AA17" i="3"/>
  <c r="Z17" i="3"/>
  <c r="Y17" i="3"/>
  <c r="X17" i="3"/>
  <c r="W17" i="3"/>
  <c r="V17" i="3"/>
  <c r="U17" i="3"/>
  <c r="T17" i="3"/>
  <c r="S17" i="3"/>
  <c r="R17" i="3"/>
  <c r="Q17" i="3"/>
  <c r="P17" i="3"/>
  <c r="AA16" i="3"/>
  <c r="Z16" i="3"/>
  <c r="Y16" i="3"/>
  <c r="X16" i="3"/>
  <c r="W16" i="3"/>
  <c r="V16" i="3"/>
  <c r="U16" i="3"/>
  <c r="T16" i="3"/>
  <c r="S16" i="3"/>
  <c r="R16" i="3"/>
  <c r="Q16" i="3"/>
  <c r="P16" i="3"/>
  <c r="AA15" i="3"/>
  <c r="Z15" i="3"/>
  <c r="Y15" i="3"/>
  <c r="X15" i="3"/>
  <c r="W15" i="3"/>
  <c r="V15" i="3"/>
  <c r="U15" i="3"/>
  <c r="T15" i="3"/>
  <c r="S15" i="3"/>
  <c r="R15" i="3"/>
  <c r="Q15" i="3"/>
  <c r="P15" i="3"/>
  <c r="AA12" i="3"/>
  <c r="Z12" i="3"/>
  <c r="Y12" i="3"/>
  <c r="X12" i="3"/>
  <c r="W12" i="3"/>
  <c r="V12" i="3"/>
  <c r="U12" i="3"/>
  <c r="T12" i="3"/>
  <c r="S12" i="3"/>
  <c r="R12" i="3"/>
  <c r="Q12" i="3"/>
  <c r="P12" i="3"/>
  <c r="AA11" i="3"/>
  <c r="Z11" i="3"/>
  <c r="Y11" i="3"/>
  <c r="X11" i="3"/>
  <c r="W11" i="3"/>
  <c r="V11" i="3"/>
  <c r="U11" i="3"/>
  <c r="T11" i="3"/>
  <c r="S11" i="3"/>
  <c r="R11" i="3"/>
  <c r="Q11" i="3"/>
  <c r="P11" i="3"/>
  <c r="AA10" i="3"/>
  <c r="Z10" i="3"/>
  <c r="Y10" i="3"/>
  <c r="X10" i="3"/>
  <c r="W10" i="3"/>
  <c r="V10" i="3"/>
  <c r="U10" i="3"/>
  <c r="T10" i="3"/>
  <c r="S10" i="3"/>
  <c r="R10" i="3"/>
  <c r="Q10" i="3"/>
  <c r="P10" i="3"/>
  <c r="AA9" i="3"/>
  <c r="Z9" i="3"/>
  <c r="Y9" i="3"/>
  <c r="X9" i="3"/>
  <c r="W9" i="3"/>
  <c r="V9" i="3"/>
  <c r="U9" i="3"/>
  <c r="T9" i="3"/>
  <c r="S9" i="3"/>
  <c r="R9" i="3"/>
  <c r="Q9" i="3"/>
  <c r="P9" i="3"/>
  <c r="AA8" i="3"/>
  <c r="Z8" i="3"/>
  <c r="Y8" i="3"/>
  <c r="X8" i="3"/>
  <c r="W8" i="3"/>
  <c r="V8" i="3"/>
  <c r="U8" i="3"/>
  <c r="T8" i="3"/>
  <c r="S8" i="3"/>
  <c r="R8" i="3"/>
  <c r="Q8" i="3"/>
  <c r="P8" i="3"/>
  <c r="AA7" i="3"/>
  <c r="Z7" i="3"/>
  <c r="Y7" i="3"/>
  <c r="X7" i="3"/>
  <c r="W7" i="3"/>
  <c r="V7" i="3"/>
  <c r="U7" i="3"/>
  <c r="T7" i="3"/>
  <c r="S7" i="3"/>
  <c r="R7" i="3"/>
  <c r="Q7" i="3"/>
  <c r="P7" i="3"/>
  <c r="AA6" i="3"/>
  <c r="Z6" i="3"/>
  <c r="Y6" i="3"/>
  <c r="X6" i="3"/>
  <c r="W6" i="3"/>
  <c r="V6" i="3"/>
  <c r="U6" i="3"/>
  <c r="AD6" i="3" s="1"/>
  <c r="T6" i="3"/>
  <c r="S6" i="3"/>
  <c r="R6" i="3"/>
  <c r="Q6" i="3"/>
  <c r="P6" i="3"/>
  <c r="AA5" i="3"/>
  <c r="Z5" i="3"/>
  <c r="Y5" i="3"/>
  <c r="X5" i="3"/>
  <c r="W5" i="3"/>
  <c r="V5" i="3"/>
  <c r="U5" i="3"/>
  <c r="T5" i="3"/>
  <c r="S5" i="3"/>
  <c r="R5" i="3"/>
  <c r="Q5" i="3"/>
  <c r="P5" i="3"/>
  <c r="AA32" i="2"/>
  <c r="Z32" i="2"/>
  <c r="Y32" i="2"/>
  <c r="X32" i="2"/>
  <c r="W32" i="2"/>
  <c r="V32" i="2"/>
  <c r="U32" i="2"/>
  <c r="T32" i="2"/>
  <c r="S32" i="2"/>
  <c r="R32" i="2"/>
  <c r="Q32" i="2"/>
  <c r="P32" i="2"/>
  <c r="AA31" i="2"/>
  <c r="Z31" i="2"/>
  <c r="Y31" i="2"/>
  <c r="X31" i="2"/>
  <c r="W31" i="2"/>
  <c r="V31" i="2"/>
  <c r="U31" i="2"/>
  <c r="T31" i="2"/>
  <c r="S31" i="2"/>
  <c r="R31" i="2"/>
  <c r="Q31" i="2"/>
  <c r="P31" i="2"/>
  <c r="AA30" i="2"/>
  <c r="Z30" i="2"/>
  <c r="Y30" i="2"/>
  <c r="X30" i="2"/>
  <c r="W30" i="2"/>
  <c r="V30" i="2"/>
  <c r="U30" i="2"/>
  <c r="T30" i="2"/>
  <c r="S30" i="2"/>
  <c r="R30" i="2"/>
  <c r="Q30" i="2"/>
  <c r="P30" i="2"/>
  <c r="AA29" i="2"/>
  <c r="Z29" i="2"/>
  <c r="Y29" i="2"/>
  <c r="X29" i="2"/>
  <c r="W29" i="2"/>
  <c r="V29" i="2"/>
  <c r="U29" i="2"/>
  <c r="T29" i="2"/>
  <c r="S29" i="2"/>
  <c r="R29" i="2"/>
  <c r="Q29" i="2"/>
  <c r="P29" i="2"/>
  <c r="AA28" i="2"/>
  <c r="Z28" i="2"/>
  <c r="Y28" i="2"/>
  <c r="X28" i="2"/>
  <c r="W28" i="2"/>
  <c r="V28" i="2"/>
  <c r="U28" i="2"/>
  <c r="T28" i="2"/>
  <c r="S28" i="2"/>
  <c r="R28" i="2"/>
  <c r="Q28" i="2"/>
  <c r="P28" i="2"/>
  <c r="AA27" i="2"/>
  <c r="Z27" i="2"/>
  <c r="Y27" i="2"/>
  <c r="X27" i="2"/>
  <c r="W27" i="2"/>
  <c r="V27" i="2"/>
  <c r="U27" i="2"/>
  <c r="T27" i="2"/>
  <c r="S27" i="2"/>
  <c r="R27" i="2"/>
  <c r="Q27" i="2"/>
  <c r="P27" i="2"/>
  <c r="AA26" i="2"/>
  <c r="Z26" i="2"/>
  <c r="Y26" i="2"/>
  <c r="X26" i="2"/>
  <c r="W26" i="2"/>
  <c r="V26" i="2"/>
  <c r="U26" i="2"/>
  <c r="T26" i="2"/>
  <c r="S26" i="2"/>
  <c r="R26" i="2"/>
  <c r="Q26" i="2"/>
  <c r="P26" i="2"/>
  <c r="AA25" i="2"/>
  <c r="Z25" i="2"/>
  <c r="Y25" i="2"/>
  <c r="X25" i="2"/>
  <c r="W25" i="2"/>
  <c r="V25" i="2"/>
  <c r="U25" i="2"/>
  <c r="T25" i="2"/>
  <c r="S25" i="2"/>
  <c r="R25" i="2"/>
  <c r="Q25" i="2"/>
  <c r="P25" i="2"/>
  <c r="AA22" i="2"/>
  <c r="Z22" i="2"/>
  <c r="Y22" i="2"/>
  <c r="X22" i="2"/>
  <c r="W22" i="2"/>
  <c r="V22" i="2"/>
  <c r="U22" i="2"/>
  <c r="T22" i="2"/>
  <c r="S22" i="2"/>
  <c r="R22" i="2"/>
  <c r="Q22" i="2"/>
  <c r="P22" i="2"/>
  <c r="AA21" i="2"/>
  <c r="Z21" i="2"/>
  <c r="Y21" i="2"/>
  <c r="X21" i="2"/>
  <c r="W21" i="2"/>
  <c r="V21" i="2"/>
  <c r="U21" i="2"/>
  <c r="T21" i="2"/>
  <c r="S21" i="2"/>
  <c r="R21" i="2"/>
  <c r="Q21" i="2"/>
  <c r="P21" i="2"/>
  <c r="AA20" i="2"/>
  <c r="Z20" i="2"/>
  <c r="Y20" i="2"/>
  <c r="X20" i="2"/>
  <c r="W20" i="2"/>
  <c r="V20" i="2"/>
  <c r="U20" i="2"/>
  <c r="T20" i="2"/>
  <c r="S20" i="2"/>
  <c r="R20" i="2"/>
  <c r="Q20" i="2"/>
  <c r="P20" i="2"/>
  <c r="AA19" i="2"/>
  <c r="Z19" i="2"/>
  <c r="Y19" i="2"/>
  <c r="X19" i="2"/>
  <c r="W19" i="2"/>
  <c r="V19" i="2"/>
  <c r="U19" i="2"/>
  <c r="T19" i="2"/>
  <c r="S19" i="2"/>
  <c r="R19" i="2"/>
  <c r="Q19" i="2"/>
  <c r="P19" i="2"/>
  <c r="AA18" i="2"/>
  <c r="Z18" i="2"/>
  <c r="Y18" i="2"/>
  <c r="X18" i="2"/>
  <c r="W18" i="2"/>
  <c r="V18" i="2"/>
  <c r="U18" i="2"/>
  <c r="T18" i="2"/>
  <c r="S18" i="2"/>
  <c r="R18" i="2"/>
  <c r="Q18" i="2"/>
  <c r="P18" i="2"/>
  <c r="AA17" i="2"/>
  <c r="Z17" i="2"/>
  <c r="Y17" i="2"/>
  <c r="X17" i="2"/>
  <c r="W17" i="2"/>
  <c r="V17" i="2"/>
  <c r="U17" i="2"/>
  <c r="T17" i="2"/>
  <c r="S17" i="2"/>
  <c r="R17" i="2"/>
  <c r="Q17" i="2"/>
  <c r="P17" i="2"/>
  <c r="AA16" i="2"/>
  <c r="AD16" i="2" s="1"/>
  <c r="Z16" i="2"/>
  <c r="Y16" i="2"/>
  <c r="X16" i="2"/>
  <c r="W16" i="2"/>
  <c r="V16" i="2"/>
  <c r="U16" i="2"/>
  <c r="T16" i="2"/>
  <c r="S16" i="2"/>
  <c r="R16" i="2"/>
  <c r="Q16" i="2"/>
  <c r="P16" i="2"/>
  <c r="AA15" i="2"/>
  <c r="Z15" i="2"/>
  <c r="Y15" i="2"/>
  <c r="X15" i="2"/>
  <c r="W15" i="2"/>
  <c r="V15" i="2"/>
  <c r="U15" i="2"/>
  <c r="T15" i="2"/>
  <c r="S15" i="2"/>
  <c r="R15" i="2"/>
  <c r="Q15" i="2"/>
  <c r="P15" i="2"/>
  <c r="AA12" i="2"/>
  <c r="Z12" i="2"/>
  <c r="Y12" i="2"/>
  <c r="X12" i="2"/>
  <c r="W12" i="2"/>
  <c r="V12" i="2"/>
  <c r="U12" i="2"/>
  <c r="T12" i="2"/>
  <c r="S12" i="2"/>
  <c r="R12" i="2"/>
  <c r="Q12" i="2"/>
  <c r="P12" i="2"/>
  <c r="AA11" i="2"/>
  <c r="Z11" i="2"/>
  <c r="Y11" i="2"/>
  <c r="X11" i="2"/>
  <c r="W11" i="2"/>
  <c r="V11" i="2"/>
  <c r="U11" i="2"/>
  <c r="T11" i="2"/>
  <c r="S11" i="2"/>
  <c r="R11" i="2"/>
  <c r="Q11" i="2"/>
  <c r="P11" i="2"/>
  <c r="AA10" i="2"/>
  <c r="Z10" i="2"/>
  <c r="Y10" i="2"/>
  <c r="X10" i="2"/>
  <c r="W10" i="2"/>
  <c r="V10" i="2"/>
  <c r="U10" i="2"/>
  <c r="T10" i="2"/>
  <c r="S10" i="2"/>
  <c r="R10" i="2"/>
  <c r="Q10" i="2"/>
  <c r="P10" i="2"/>
  <c r="AA9" i="2"/>
  <c r="Z9" i="2"/>
  <c r="Y9" i="2"/>
  <c r="X9" i="2"/>
  <c r="W9" i="2"/>
  <c r="V9" i="2"/>
  <c r="U9" i="2"/>
  <c r="T9" i="2"/>
  <c r="S9" i="2"/>
  <c r="R9" i="2"/>
  <c r="Q9" i="2"/>
  <c r="P9" i="2"/>
  <c r="AA8" i="2"/>
  <c r="Z8" i="2"/>
  <c r="Y8" i="2"/>
  <c r="X8" i="2"/>
  <c r="W8" i="2"/>
  <c r="V8" i="2"/>
  <c r="U8" i="2"/>
  <c r="T8" i="2"/>
  <c r="S8" i="2"/>
  <c r="R8" i="2"/>
  <c r="Q8" i="2"/>
  <c r="P8" i="2"/>
  <c r="AA7" i="2"/>
  <c r="Z7" i="2"/>
  <c r="Y7" i="2"/>
  <c r="X7" i="2"/>
  <c r="W7" i="2"/>
  <c r="V7" i="2"/>
  <c r="U7" i="2"/>
  <c r="T7" i="2"/>
  <c r="S7" i="2"/>
  <c r="R7" i="2"/>
  <c r="Q7" i="2"/>
  <c r="P7" i="2"/>
  <c r="AA6" i="2"/>
  <c r="Z6" i="2"/>
  <c r="Y6" i="2"/>
  <c r="X6" i="2"/>
  <c r="W6" i="2"/>
  <c r="V6" i="2"/>
  <c r="U6" i="2"/>
  <c r="T6" i="2"/>
  <c r="S6" i="2"/>
  <c r="R6" i="2"/>
  <c r="Q6" i="2"/>
  <c r="P6" i="2"/>
  <c r="AA5" i="2"/>
  <c r="Z5" i="2"/>
  <c r="Y5" i="2"/>
  <c r="X5" i="2"/>
  <c r="W5" i="2"/>
  <c r="V5" i="2"/>
  <c r="U5" i="2"/>
  <c r="T5" i="2"/>
  <c r="S5" i="2"/>
  <c r="R5" i="2"/>
  <c r="Q5" i="2"/>
  <c r="P5" i="2"/>
  <c r="AD7" i="5" l="1"/>
  <c r="AD8" i="5"/>
  <c r="AD29" i="5"/>
  <c r="AD31" i="5" s="1"/>
  <c r="AD18" i="5"/>
  <c r="AD17" i="5"/>
  <c r="AD19" i="5"/>
  <c r="AD21" i="5" s="1"/>
  <c r="AD28" i="5"/>
  <c r="AD27" i="5"/>
  <c r="AD9" i="5"/>
  <c r="AD11" i="5" s="1"/>
  <c r="AD25" i="4"/>
  <c r="AD6" i="4"/>
  <c r="AD9" i="4" s="1"/>
  <c r="AD11" i="4" s="1"/>
  <c r="AD16" i="4"/>
  <c r="AD17" i="4" s="1"/>
  <c r="AD15" i="4"/>
  <c r="AD26" i="4"/>
  <c r="AD18" i="4"/>
  <c r="AD29" i="4"/>
  <c r="AD31" i="4" s="1"/>
  <c r="AD28" i="4"/>
  <c r="AD27" i="4"/>
  <c r="AD8" i="4"/>
  <c r="AD19" i="4"/>
  <c r="AD21" i="4" s="1"/>
  <c r="AD5" i="3"/>
  <c r="AD7" i="3" s="1"/>
  <c r="AD16" i="3"/>
  <c r="AD26" i="3"/>
  <c r="AD25" i="3"/>
  <c r="AD29" i="3" s="1"/>
  <c r="AD31" i="3" s="1"/>
  <c r="AD28" i="3"/>
  <c r="AD27" i="3"/>
  <c r="AD18" i="3"/>
  <c r="AD17" i="3"/>
  <c r="AD19" i="3"/>
  <c r="AD21" i="3" s="1"/>
  <c r="AD5" i="2"/>
  <c r="AD6" i="2"/>
  <c r="AD15" i="2"/>
  <c r="AD26" i="2"/>
  <c r="AD25" i="2"/>
  <c r="AD17" i="2"/>
  <c r="AD18" i="2"/>
  <c r="AD9" i="2"/>
  <c r="AD11" i="2" s="1"/>
  <c r="AD8" i="2"/>
  <c r="AD7" i="2"/>
  <c r="AD21" i="2"/>
  <c r="AD19" i="2"/>
  <c r="AD28" i="2"/>
  <c r="AD27" i="2"/>
  <c r="AD29" i="2"/>
  <c r="AD31" i="2" s="1"/>
  <c r="P26" i="1"/>
  <c r="Q26" i="1"/>
  <c r="R26" i="1"/>
  <c r="S26" i="1"/>
  <c r="T26" i="1"/>
  <c r="U26" i="1"/>
  <c r="V26" i="1"/>
  <c r="W26" i="1"/>
  <c r="X26" i="1"/>
  <c r="Y26" i="1"/>
  <c r="Z26" i="1"/>
  <c r="AA26" i="1"/>
  <c r="P27" i="1"/>
  <c r="Q27" i="1"/>
  <c r="R27" i="1"/>
  <c r="S27" i="1"/>
  <c r="T27" i="1"/>
  <c r="U27" i="1"/>
  <c r="V27" i="1"/>
  <c r="W27" i="1"/>
  <c r="X27" i="1"/>
  <c r="Y27" i="1"/>
  <c r="Z27" i="1"/>
  <c r="AA27" i="1"/>
  <c r="P28" i="1"/>
  <c r="Q28" i="1"/>
  <c r="R28" i="1"/>
  <c r="S28" i="1"/>
  <c r="T28" i="1"/>
  <c r="U28" i="1"/>
  <c r="V28" i="1"/>
  <c r="W28" i="1"/>
  <c r="X28" i="1"/>
  <c r="Y28" i="1"/>
  <c r="Z28" i="1"/>
  <c r="AA28" i="1"/>
  <c r="P29" i="1"/>
  <c r="Q29" i="1"/>
  <c r="R29" i="1"/>
  <c r="S29" i="1"/>
  <c r="T29" i="1"/>
  <c r="U29" i="1"/>
  <c r="V29" i="1"/>
  <c r="W29" i="1"/>
  <c r="X29" i="1"/>
  <c r="Y29" i="1"/>
  <c r="Z29" i="1"/>
  <c r="AA29" i="1"/>
  <c r="P30" i="1"/>
  <c r="Q30" i="1"/>
  <c r="R30" i="1"/>
  <c r="S30" i="1"/>
  <c r="T30" i="1"/>
  <c r="U30" i="1"/>
  <c r="V30" i="1"/>
  <c r="W30" i="1"/>
  <c r="X30" i="1"/>
  <c r="Y30" i="1"/>
  <c r="Z30" i="1"/>
  <c r="AA30" i="1"/>
  <c r="P31" i="1"/>
  <c r="Q31" i="1"/>
  <c r="R31" i="1"/>
  <c r="S31" i="1"/>
  <c r="T31" i="1"/>
  <c r="U31" i="1"/>
  <c r="V31" i="1"/>
  <c r="W31" i="1"/>
  <c r="X31" i="1"/>
  <c r="Y31" i="1"/>
  <c r="Z31" i="1"/>
  <c r="AA31" i="1"/>
  <c r="P32" i="1"/>
  <c r="Q32" i="1"/>
  <c r="R32" i="1"/>
  <c r="S32" i="1"/>
  <c r="T32" i="1"/>
  <c r="U32" i="1"/>
  <c r="V32" i="1"/>
  <c r="W32" i="1"/>
  <c r="X32" i="1"/>
  <c r="Y32" i="1"/>
  <c r="Z32" i="1"/>
  <c r="AA32" i="1"/>
  <c r="Q25" i="1"/>
  <c r="R25" i="1"/>
  <c r="S25" i="1"/>
  <c r="T25" i="1"/>
  <c r="U25" i="1"/>
  <c r="V25" i="1"/>
  <c r="W25" i="1"/>
  <c r="X25" i="1"/>
  <c r="Y25" i="1"/>
  <c r="Z25" i="1"/>
  <c r="AA25" i="1"/>
  <c r="P25" i="1"/>
  <c r="P16" i="1"/>
  <c r="Q16" i="1"/>
  <c r="R16" i="1"/>
  <c r="S16" i="1"/>
  <c r="T16" i="1"/>
  <c r="U16" i="1"/>
  <c r="V16" i="1"/>
  <c r="W16" i="1"/>
  <c r="X16" i="1"/>
  <c r="Y16" i="1"/>
  <c r="Z16" i="1"/>
  <c r="AA16" i="1"/>
  <c r="P17" i="1"/>
  <c r="Q17" i="1"/>
  <c r="R17" i="1"/>
  <c r="S17" i="1"/>
  <c r="T17" i="1"/>
  <c r="U17" i="1"/>
  <c r="V17" i="1"/>
  <c r="W17" i="1"/>
  <c r="X17" i="1"/>
  <c r="Y17" i="1"/>
  <c r="Z17" i="1"/>
  <c r="AA17" i="1"/>
  <c r="P18" i="1"/>
  <c r="Q18" i="1"/>
  <c r="R18" i="1"/>
  <c r="S18" i="1"/>
  <c r="T18" i="1"/>
  <c r="U18" i="1"/>
  <c r="V18" i="1"/>
  <c r="W18" i="1"/>
  <c r="X18" i="1"/>
  <c r="Y18" i="1"/>
  <c r="Z18" i="1"/>
  <c r="AA18" i="1"/>
  <c r="P19" i="1"/>
  <c r="Q19" i="1"/>
  <c r="R19" i="1"/>
  <c r="S19" i="1"/>
  <c r="T19" i="1"/>
  <c r="U19" i="1"/>
  <c r="V19" i="1"/>
  <c r="W19" i="1"/>
  <c r="X19" i="1"/>
  <c r="Y19" i="1"/>
  <c r="Z19" i="1"/>
  <c r="AA19" i="1"/>
  <c r="P20" i="1"/>
  <c r="Q20" i="1"/>
  <c r="R20" i="1"/>
  <c r="S20" i="1"/>
  <c r="T20" i="1"/>
  <c r="U20" i="1"/>
  <c r="V20" i="1"/>
  <c r="W20" i="1"/>
  <c r="X20" i="1"/>
  <c r="Y20" i="1"/>
  <c r="Z20" i="1"/>
  <c r="AA20" i="1"/>
  <c r="P21" i="1"/>
  <c r="Q21" i="1"/>
  <c r="R21" i="1"/>
  <c r="S21" i="1"/>
  <c r="T21" i="1"/>
  <c r="U21" i="1"/>
  <c r="V21" i="1"/>
  <c r="W21" i="1"/>
  <c r="X21" i="1"/>
  <c r="Y21" i="1"/>
  <c r="Z21" i="1"/>
  <c r="AA21" i="1"/>
  <c r="P22" i="1"/>
  <c r="Q22" i="1"/>
  <c r="R22" i="1"/>
  <c r="S22" i="1"/>
  <c r="T22" i="1"/>
  <c r="U22" i="1"/>
  <c r="V22" i="1"/>
  <c r="W22" i="1"/>
  <c r="X22" i="1"/>
  <c r="Y22" i="1"/>
  <c r="Z22" i="1"/>
  <c r="AA22" i="1"/>
  <c r="Q15" i="1"/>
  <c r="R15" i="1"/>
  <c r="S15" i="1"/>
  <c r="T15" i="1"/>
  <c r="U15" i="1"/>
  <c r="V15" i="1"/>
  <c r="W15" i="1"/>
  <c r="X15" i="1"/>
  <c r="Y15" i="1"/>
  <c r="Z15" i="1"/>
  <c r="AA15" i="1"/>
  <c r="P15" i="1"/>
  <c r="P6" i="1"/>
  <c r="Q6" i="1"/>
  <c r="R6" i="1"/>
  <c r="S6" i="1"/>
  <c r="T6" i="1"/>
  <c r="U6" i="1"/>
  <c r="V6" i="1"/>
  <c r="W6" i="1"/>
  <c r="X6" i="1"/>
  <c r="Y6" i="1"/>
  <c r="Z6" i="1"/>
  <c r="AA6" i="1"/>
  <c r="P7" i="1"/>
  <c r="Q7" i="1"/>
  <c r="R7" i="1"/>
  <c r="S7" i="1"/>
  <c r="T7" i="1"/>
  <c r="U7" i="1"/>
  <c r="V7" i="1"/>
  <c r="W7" i="1"/>
  <c r="X7" i="1"/>
  <c r="Y7" i="1"/>
  <c r="Z7" i="1"/>
  <c r="AA7" i="1"/>
  <c r="P8" i="1"/>
  <c r="Q8" i="1"/>
  <c r="R8" i="1"/>
  <c r="S8" i="1"/>
  <c r="T8" i="1"/>
  <c r="U8" i="1"/>
  <c r="V8" i="1"/>
  <c r="W8" i="1"/>
  <c r="X8" i="1"/>
  <c r="Y8" i="1"/>
  <c r="Z8" i="1"/>
  <c r="AA8" i="1"/>
  <c r="P9" i="1"/>
  <c r="Q9" i="1"/>
  <c r="R9" i="1"/>
  <c r="S9" i="1"/>
  <c r="T9" i="1"/>
  <c r="U9" i="1"/>
  <c r="V9" i="1"/>
  <c r="W9" i="1"/>
  <c r="X9" i="1"/>
  <c r="Y9" i="1"/>
  <c r="Z9" i="1"/>
  <c r="AA9" i="1"/>
  <c r="P10" i="1"/>
  <c r="Q10" i="1"/>
  <c r="R10" i="1"/>
  <c r="S10" i="1"/>
  <c r="T10" i="1"/>
  <c r="U10" i="1"/>
  <c r="V10" i="1"/>
  <c r="W10" i="1"/>
  <c r="X10" i="1"/>
  <c r="Y10" i="1"/>
  <c r="Z10" i="1"/>
  <c r="AA10" i="1"/>
  <c r="P11" i="1"/>
  <c r="Q11" i="1"/>
  <c r="R11" i="1"/>
  <c r="S11" i="1"/>
  <c r="T11" i="1"/>
  <c r="U11" i="1"/>
  <c r="V11" i="1"/>
  <c r="W11" i="1"/>
  <c r="X11" i="1"/>
  <c r="Y11" i="1"/>
  <c r="Z11" i="1"/>
  <c r="AA11" i="1"/>
  <c r="P12" i="1"/>
  <c r="Q12" i="1"/>
  <c r="R12" i="1"/>
  <c r="S12" i="1"/>
  <c r="T12" i="1"/>
  <c r="U12" i="1"/>
  <c r="V12" i="1"/>
  <c r="W12" i="1"/>
  <c r="X12" i="1"/>
  <c r="Y12" i="1"/>
  <c r="Z12" i="1"/>
  <c r="AA12" i="1"/>
  <c r="Q5" i="1"/>
  <c r="R5" i="1"/>
  <c r="S5" i="1"/>
  <c r="T5" i="1"/>
  <c r="U5" i="1"/>
  <c r="V5" i="1"/>
  <c r="W5" i="1"/>
  <c r="X5" i="1"/>
  <c r="Y5" i="1"/>
  <c r="Z5" i="1"/>
  <c r="AA5" i="1"/>
  <c r="P5" i="1"/>
  <c r="AD15" i="1"/>
  <c r="AD7" i="4" l="1"/>
  <c r="AD9" i="3"/>
  <c r="AD11" i="3" s="1"/>
  <c r="AD8" i="3"/>
  <c r="AD25" i="1"/>
  <c r="AD26" i="1"/>
  <c r="AD27" i="1" s="1"/>
  <c r="AD5" i="1"/>
  <c r="AD6" i="1"/>
  <c r="AD16" i="1"/>
  <c r="AD17" i="1" s="1"/>
  <c r="AD29" i="1" l="1"/>
  <c r="AD31" i="1" s="1"/>
  <c r="AD28" i="1"/>
  <c r="AD9" i="1"/>
  <c r="AD11" i="1" s="1"/>
  <c r="AD7" i="1"/>
  <c r="AD8" i="1"/>
  <c r="AD18" i="1"/>
  <c r="AD19" i="1"/>
  <c r="AD21" i="1" s="1"/>
</calcChain>
</file>

<file path=xl/sharedStrings.xml><?xml version="1.0" encoding="utf-8"?>
<sst xmlns="http://schemas.openxmlformats.org/spreadsheetml/2006/main" count="1495" uniqueCount="87">
  <si>
    <t>0s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</si>
  <si>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</si>
  <si>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</si>
  <si>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</si>
  <si>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</si>
  <si>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</si>
  <si>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</si>
  <si>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</si>
  <si>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</si>
  <si>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</si>
  <si>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0 s</t>
  </si>
  <si>
    <t>Analysis data</t>
  </si>
  <si>
    <t>POSITIVE</t>
  </si>
  <si>
    <t>NEGATIVE</t>
  </si>
  <si>
    <t>Hi Cutoff</t>
  </si>
  <si>
    <t>Lo Cutoff</t>
  </si>
  <si>
    <t>Pos/Neg</t>
  </si>
  <si>
    <t>Plate pass</t>
  </si>
  <si>
    <t>Raw data</t>
  </si>
  <si>
    <t>Raw data - Mean</t>
  </si>
  <si>
    <t/>
  </si>
  <si>
    <t>COVID_S1 IgG ELISA 405.mth</t>
  </si>
  <si>
    <t>C:\Users\Public\Documents\Tecan\SparkControl magellan\mth\COVID_S1 IgG ELISA 405.mth</t>
  </si>
  <si>
    <t>4050nm</t>
  </si>
  <si>
    <t>SPARK</t>
  </si>
  <si>
    <t>Instrument serial number: 1803008872</t>
  </si>
  <si>
    <t>Name: NUN96ft</t>
  </si>
  <si>
    <t>Plate layout:</t>
  </si>
  <si>
    <t>Plate area: A1-H12</t>
  </si>
  <si>
    <t xml:space="preserve">    Kinetic Loop</t>
  </si>
  <si>
    <t xml:space="preserve">    Mode: Kinetic</t>
  </si>
  <si>
    <t xml:space="preserve">    ListOfActionName: Kinetic</t>
  </si>
  <si>
    <t xml:space="preserve">    Kinetic cycles: 3</t>
  </si>
  <si>
    <t xml:space="preserve">    Interval time: Not defined</t>
  </si>
  <si>
    <t xml:space="preserve">      Absorbance</t>
  </si>
  <si>
    <t xml:space="preserve">      Name: Label 1</t>
  </si>
  <si>
    <t xml:space="preserve">      Mode: Absorbance</t>
  </si>
  <si>
    <t xml:space="preserve">      Measurement wavelength: 405 nm</t>
  </si>
  <si>
    <t xml:space="preserve">      Number of flashes: 10</t>
  </si>
  <si>
    <t xml:space="preserve">      Settle time: 50 ms</t>
  </si>
  <si>
    <t>15 minute read</t>
  </si>
  <si>
    <t>30 minute read</t>
  </si>
  <si>
    <t>45 minute read</t>
  </si>
  <si>
    <t>Indeterminate</t>
  </si>
  <si>
    <t>894s</t>
  </si>
  <si>
    <t>1794s</t>
  </si>
  <si>
    <t>894 s</t>
  </si>
  <si>
    <t>1794 s</t>
  </si>
  <si>
    <t>Date of measurement: 2020-07-06/Time of measurement: 14:11:54</t>
  </si>
  <si>
    <t>LPL01012_45min_06072020.wsp</t>
  </si>
  <si>
    <t>C:\Users\Public\Documents\Tecan\SparkControl magellan\wsp\LPL01012_45min_06072020.wsp</t>
  </si>
  <si>
    <t xml:space="preserve">Total kinetic run time: 29min 54s </t>
  </si>
  <si>
    <t>897s</t>
  </si>
  <si>
    <t>1797s</t>
  </si>
  <si>
    <t>897 s</t>
  </si>
  <si>
    <t>1797 s</t>
  </si>
  <si>
    <t>Date of measurement: 2020-07-02/Time of measurement: 14:41:58</t>
  </si>
  <si>
    <t>LPL01012 P1 15.wsp</t>
  </si>
  <si>
    <t>C:\Users\Public\Documents\Tecan\SparkControl magellan\wsp\LPL01012 P1 15.wsp</t>
  </si>
  <si>
    <t xml:space="preserve">Total kinetic run time: 29min 57s </t>
  </si>
  <si>
    <t>905s</t>
  </si>
  <si>
    <t>1810s</t>
  </si>
  <si>
    <t>905 s</t>
  </si>
  <si>
    <t>1810 s</t>
  </si>
  <si>
    <t>Date of measurement: 2020-07-03/Time of measurement: 15:18:02</t>
  </si>
  <si>
    <t>LPL01012_ 15.wsp</t>
  </si>
  <si>
    <t>C:\Users\Public\Documents\Tecan\SparkControl magellan\wsp\LPL01012_ 15.wsp</t>
  </si>
  <si>
    <t xml:space="preserve">Total kinetic run time: 30min 10s </t>
  </si>
  <si>
    <t>863s</t>
  </si>
  <si>
    <t>1857s</t>
  </si>
  <si>
    <t>863 s</t>
  </si>
  <si>
    <t>1857 s</t>
  </si>
  <si>
    <t>Date of measurement: 2020-07-01/Time of measurement: 16:03:23</t>
  </si>
  <si>
    <t>LPL01012_t1.wsp</t>
  </si>
  <si>
    <t>C:\Users\Public\Documents\Tecan\SparkControl magellan\wsp\LPL01012_t1.wsp</t>
  </si>
  <si>
    <t xml:space="preserve">Total kinetic run time: 30min 57s </t>
  </si>
  <si>
    <t>15min</t>
  </si>
  <si>
    <t>30min</t>
  </si>
  <si>
    <t>45min</t>
  </si>
  <si>
    <t>762s</t>
  </si>
  <si>
    <t>1645s</t>
  </si>
  <si>
    <t>762 s</t>
  </si>
  <si>
    <t>1645 s</t>
  </si>
  <si>
    <t>Date of measurement: 2020-07-07/Time of measurement: 15:22:54</t>
  </si>
  <si>
    <t>LPL01012_t5.wsp</t>
  </si>
  <si>
    <t>C:\Users\Public\Documents\Tecan\SparkControl magellan\wsp\LPL01012_t5.wsp</t>
  </si>
  <si>
    <t xml:space="preserve">Total kinetic run time: 27min 25s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</si>
</sst>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3" borderId="0" xfId="2"/>
    <xf numFmtId="0" fontId="4" fillId="4" borderId="0" xfId="3"/>
    <xf numFmtId="0" fontId="2" fillId="2" borderId="0" xfId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"/>
  <sheetViews>
    <sheetView workbookViewId="0">
      <selection activeCell="O1" sqref="O1:O1048576"/>
    </sheetView>
  </sheetViews>
  <sheetFormatPr defaultRowHeight="15" x14ac:dyDescent="0.25"/>
  <cols>
    <col min="15" max="30" width="9.140625" style="6"/>
  </cols>
  <sheetData>
    <row r="1" spans="1:30" x14ac:dyDescent="0.25">
      <c r="A1" s="9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O1" s="7" t="s">
        <v>11</v>
      </c>
      <c r="R1" s="3" t="s">
        <v>12</v>
      </c>
      <c r="T1" s="4" t="s">
        <v>43</v>
      </c>
      <c r="V1" s="5" t="s">
        <v>13</v>
      </c>
    </row>
    <row r="2" spans="1:30" x14ac:dyDescent="0.25">
      <c r="A2" s="9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O2" s="7"/>
    </row>
    <row r="3" spans="1:30" x14ac:dyDescent="0.25">
      <c r="A3" s="9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7" t="s">
        <v>76</v>
      </c>
    </row>
    <row r="4" spans="1:30" x14ac:dyDescent="0.25">
      <c r="A4" s="9" t="s">
        <v>1</v>
      </c>
      <c r="B4" s="8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  <c r="K4" s="8">
        <v>10</v>
      </c>
      <c r="L4" s="8">
        <v>11</v>
      </c>
      <c r="M4" s="8">
        <v>12</v>
      </c>
      <c r="O4" s="7" t="s">
        <v>1</v>
      </c>
      <c r="P4" s="6">
        <v>1</v>
      </c>
      <c r="Q4" s="6">
        <v>2</v>
      </c>
      <c r="R4" s="6">
        <v>3</v>
      </c>
      <c r="S4" s="6">
        <v>4</v>
      </c>
      <c r="T4" s="6">
        <v>5</v>
      </c>
      <c r="U4" s="6">
        <v>6</v>
      </c>
      <c r="V4" s="6">
        <v>7</v>
      </c>
      <c r="W4" s="6">
        <v>8</v>
      </c>
      <c r="X4" s="6">
        <v>9</v>
      </c>
      <c r="Y4" s="6">
        <v>10</v>
      </c>
      <c r="Z4" s="6">
        <v>11</v>
      </c>
      <c r="AA4" s="6">
        <v>12</v>
      </c>
      <c r="AC4" s="2" t="s">
        <v>40</v>
      </c>
    </row>
    <row r="5" spans="1:30" x14ac:dyDescent="0.25">
      <c r="A5" s="9" t="s">
        <v>2</v>
      </c>
      <c r="B5" s="8">
        <v>7.3122999999999994E-2</v>
      </c>
      <c r="C5" s="8">
        <v>9.2050999999999994E-2</v>
      </c>
      <c r="D5" s="8">
        <v>8.0823999999999993E-2</v>
      </c>
      <c r="E5" s="8">
        <v>7.7646000000000007E-2</v>
      </c>
      <c r="F5" s="8">
        <v>0.13325000000000001</v>
      </c>
      <c r="G5" s="8">
        <v>6.0069999999999998E-2</v>
      </c>
      <c r="H5" s="8">
        <v>6.3951999999999995E-2</v>
      </c>
      <c r="I5" s="8">
        <v>7.3399000000000006E-2</v>
      </c>
      <c r="J5" s="8">
        <v>7.7334E-2</v>
      </c>
      <c r="K5" s="8">
        <v>7.5273999999999994E-2</v>
      </c>
      <c r="L5" s="8">
        <v>0.12862000000000001</v>
      </c>
      <c r="M5" s="8">
        <v>5.0840000000000003E-2</v>
      </c>
      <c r="O5" s="7" t="s">
        <v>2</v>
      </c>
      <c r="P5" s="6">
        <f>B5</f>
        <v>7.3122999999999994E-2</v>
      </c>
      <c r="Q5" s="6">
        <f t="shared" ref="Q5:AA12" si="0">C5</f>
        <v>9.2050999999999994E-2</v>
      </c>
      <c r="R5" s="6">
        <f t="shared" si="0"/>
        <v>8.0823999999999993E-2</v>
      </c>
      <c r="S5" s="6">
        <f t="shared" si="0"/>
        <v>7.7646000000000007E-2</v>
      </c>
      <c r="T5" s="6">
        <f t="shared" si="0"/>
        <v>0.13325000000000001</v>
      </c>
      <c r="U5" s="6">
        <f t="shared" si="0"/>
        <v>6.0069999999999998E-2</v>
      </c>
      <c r="V5" s="6">
        <f t="shared" si="0"/>
        <v>6.3951999999999995E-2</v>
      </c>
      <c r="W5" s="6">
        <f t="shared" si="0"/>
        <v>7.3399000000000006E-2</v>
      </c>
      <c r="X5" s="6">
        <f t="shared" si="0"/>
        <v>7.7334E-2</v>
      </c>
      <c r="Y5" s="6">
        <f t="shared" si="0"/>
        <v>7.5273999999999994E-2</v>
      </c>
      <c r="Z5" s="6">
        <f t="shared" si="0"/>
        <v>0.12862000000000001</v>
      </c>
      <c r="AA5" s="6">
        <f t="shared" si="0"/>
        <v>5.0840000000000003E-2</v>
      </c>
      <c r="AC5" s="6" t="s">
        <v>12</v>
      </c>
      <c r="AD5" s="6">
        <f>AVERAGE(U11,U12,AA11,AA12)</f>
        <v>2.3571999999999997</v>
      </c>
    </row>
    <row r="6" spans="1:30" x14ac:dyDescent="0.25">
      <c r="A6" s="9" t="s">
        <v>3</v>
      </c>
      <c r="B6" s="8">
        <v>6.5814999999999999E-2</v>
      </c>
      <c r="C6" s="8">
        <v>7.7720999999999998E-2</v>
      </c>
      <c r="D6" s="8">
        <v>8.0333000000000002E-2</v>
      </c>
      <c r="E6" s="8">
        <v>6.7470000000000002E-2</v>
      </c>
      <c r="F6" s="8">
        <v>6.9311999999999999E-2</v>
      </c>
      <c r="G6" s="8">
        <v>4.4107E-2</v>
      </c>
      <c r="H6" s="8">
        <v>7.6872999999999997E-2</v>
      </c>
      <c r="I6" s="8">
        <v>6.6933999999999994E-2</v>
      </c>
      <c r="J6" s="8">
        <v>7.5684000000000001E-2</v>
      </c>
      <c r="K6" s="8">
        <v>6.0380999999999997E-2</v>
      </c>
      <c r="L6" s="8">
        <v>5.8681999999999998E-2</v>
      </c>
      <c r="M6" s="8">
        <v>5.2191000000000001E-2</v>
      </c>
      <c r="O6" s="7" t="s">
        <v>3</v>
      </c>
      <c r="P6" s="6">
        <f t="shared" ref="P6:P12" si="1">B6</f>
        <v>6.5814999999999999E-2</v>
      </c>
      <c r="Q6" s="6">
        <f t="shared" si="0"/>
        <v>7.7720999999999998E-2</v>
      </c>
      <c r="R6" s="6">
        <f t="shared" si="0"/>
        <v>8.0333000000000002E-2</v>
      </c>
      <c r="S6" s="6">
        <f t="shared" si="0"/>
        <v>6.7470000000000002E-2</v>
      </c>
      <c r="T6" s="6">
        <f t="shared" si="0"/>
        <v>6.9311999999999999E-2</v>
      </c>
      <c r="U6" s="6">
        <f t="shared" si="0"/>
        <v>4.4107E-2</v>
      </c>
      <c r="V6" s="6">
        <f t="shared" si="0"/>
        <v>7.6872999999999997E-2</v>
      </c>
      <c r="W6" s="6">
        <f t="shared" si="0"/>
        <v>6.6933999999999994E-2</v>
      </c>
      <c r="X6" s="6">
        <f t="shared" si="0"/>
        <v>7.5684000000000001E-2</v>
      </c>
      <c r="Y6" s="6">
        <f t="shared" si="0"/>
        <v>6.0380999999999997E-2</v>
      </c>
      <c r="Z6" s="6">
        <f t="shared" si="0"/>
        <v>5.8681999999999998E-2</v>
      </c>
      <c r="AA6" s="6">
        <f t="shared" si="0"/>
        <v>5.2191000000000001E-2</v>
      </c>
      <c r="AC6" s="6" t="s">
        <v>13</v>
      </c>
      <c r="AD6" s="6">
        <f>AVERAGE(U5,U6,U7,U8,U9,U10,AA5,AA6,AA7,AA8,AA9,AA10,)</f>
        <v>5.7967692307692303E-2</v>
      </c>
    </row>
    <row r="7" spans="1:30" x14ac:dyDescent="0.25">
      <c r="A7" s="9" t="s">
        <v>4</v>
      </c>
      <c r="B7" s="8">
        <v>0.10453</v>
      </c>
      <c r="C7" s="8">
        <v>7.0202000000000001E-2</v>
      </c>
      <c r="D7" s="8">
        <v>7.1604000000000001E-2</v>
      </c>
      <c r="E7" s="8">
        <v>0.14147999999999999</v>
      </c>
      <c r="F7" s="8">
        <v>8.4673999999999999E-2</v>
      </c>
      <c r="G7" s="8">
        <v>5.953E-2</v>
      </c>
      <c r="H7" s="8">
        <v>8.6867E-2</v>
      </c>
      <c r="I7" s="8">
        <v>5.8827999999999998E-2</v>
      </c>
      <c r="J7" s="8">
        <v>6.1133E-2</v>
      </c>
      <c r="K7" s="8">
        <v>9.2148999999999995E-2</v>
      </c>
      <c r="L7" s="8">
        <v>6.5541000000000002E-2</v>
      </c>
      <c r="M7" s="8">
        <v>5.0203999999999999E-2</v>
      </c>
      <c r="O7" s="7" t="s">
        <v>4</v>
      </c>
      <c r="P7" s="6">
        <f t="shared" si="1"/>
        <v>0.10453</v>
      </c>
      <c r="Q7" s="6">
        <f t="shared" si="0"/>
        <v>7.0202000000000001E-2</v>
      </c>
      <c r="R7" s="6">
        <f t="shared" si="0"/>
        <v>7.1604000000000001E-2</v>
      </c>
      <c r="S7" s="6">
        <f t="shared" si="0"/>
        <v>0.14147999999999999</v>
      </c>
      <c r="T7" s="6">
        <f t="shared" si="0"/>
        <v>8.4673999999999999E-2</v>
      </c>
      <c r="U7" s="6">
        <f t="shared" si="0"/>
        <v>5.953E-2</v>
      </c>
      <c r="V7" s="6">
        <f t="shared" si="0"/>
        <v>8.6867E-2</v>
      </c>
      <c r="W7" s="6">
        <f t="shared" si="0"/>
        <v>5.8827999999999998E-2</v>
      </c>
      <c r="X7" s="6">
        <f t="shared" si="0"/>
        <v>6.1133E-2</v>
      </c>
      <c r="Y7" s="6">
        <f t="shared" si="0"/>
        <v>9.2148999999999995E-2</v>
      </c>
      <c r="Z7" s="6">
        <f t="shared" si="0"/>
        <v>6.5541000000000002E-2</v>
      </c>
      <c r="AA7" s="6">
        <f t="shared" si="0"/>
        <v>5.0203999999999999E-2</v>
      </c>
      <c r="AC7" s="6" t="s">
        <v>14</v>
      </c>
      <c r="AD7" s="6">
        <f>AD6+(0.35*AD5)</f>
        <v>0.88298769230769214</v>
      </c>
    </row>
    <row r="8" spans="1:30" x14ac:dyDescent="0.25">
      <c r="A8" s="9" t="s">
        <v>5</v>
      </c>
      <c r="B8" s="8">
        <v>5.5579000000000003E-2</v>
      </c>
      <c r="C8" s="8">
        <v>6.9331000000000004E-2</v>
      </c>
      <c r="D8" s="8">
        <v>7.9843999999999998E-2</v>
      </c>
      <c r="E8" s="8">
        <v>7.0380999999999999E-2</v>
      </c>
      <c r="F8" s="8">
        <v>6.0151000000000003E-2</v>
      </c>
      <c r="G8" s="8">
        <v>6.1018000000000003E-2</v>
      </c>
      <c r="H8" s="8">
        <v>5.6612999999999997E-2</v>
      </c>
      <c r="I8" s="8">
        <v>6.0690000000000001E-2</v>
      </c>
      <c r="J8" s="8">
        <v>9.7538E-2</v>
      </c>
      <c r="K8" s="8">
        <v>6.0027999999999998E-2</v>
      </c>
      <c r="L8" s="8">
        <v>5.3650000000000003E-2</v>
      </c>
      <c r="M8" s="8">
        <v>5.2769000000000003E-2</v>
      </c>
      <c r="O8" s="7" t="s">
        <v>5</v>
      </c>
      <c r="P8" s="6">
        <f t="shared" si="1"/>
        <v>5.5579000000000003E-2</v>
      </c>
      <c r="Q8" s="6">
        <f t="shared" si="0"/>
        <v>6.9331000000000004E-2</v>
      </c>
      <c r="R8" s="6">
        <f t="shared" si="0"/>
        <v>7.9843999999999998E-2</v>
      </c>
      <c r="S8" s="6">
        <f t="shared" si="0"/>
        <v>7.0380999999999999E-2</v>
      </c>
      <c r="T8" s="6">
        <f t="shared" si="0"/>
        <v>6.0151000000000003E-2</v>
      </c>
      <c r="U8" s="6">
        <f t="shared" si="0"/>
        <v>6.1018000000000003E-2</v>
      </c>
      <c r="V8" s="6">
        <f t="shared" si="0"/>
        <v>5.6612999999999997E-2</v>
      </c>
      <c r="W8" s="6">
        <f t="shared" si="0"/>
        <v>6.0690000000000001E-2</v>
      </c>
      <c r="X8" s="6">
        <f t="shared" si="0"/>
        <v>9.7538E-2</v>
      </c>
      <c r="Y8" s="6">
        <f t="shared" si="0"/>
        <v>6.0027999999999998E-2</v>
      </c>
      <c r="Z8" s="6">
        <f t="shared" si="0"/>
        <v>5.3650000000000003E-2</v>
      </c>
      <c r="AA8" s="6">
        <f t="shared" si="0"/>
        <v>5.2769000000000003E-2</v>
      </c>
      <c r="AC8" s="6" t="s">
        <v>15</v>
      </c>
      <c r="AD8" s="6">
        <f>AD6+(0.25*AD5)</f>
        <v>0.64726769230769221</v>
      </c>
    </row>
    <row r="9" spans="1:30" x14ac:dyDescent="0.25">
      <c r="A9" s="9" t="s">
        <v>6</v>
      </c>
      <c r="B9" s="8">
        <v>6.2639E-2</v>
      </c>
      <c r="C9" s="8">
        <v>0.44517000000000001</v>
      </c>
      <c r="D9" s="8">
        <v>7.2162000000000004E-2</v>
      </c>
      <c r="E9" s="8">
        <v>5.7754E-2</v>
      </c>
      <c r="F9" s="8">
        <v>6.5041000000000002E-2</v>
      </c>
      <c r="G9" s="8">
        <v>5.9533000000000003E-2</v>
      </c>
      <c r="H9" s="8">
        <v>5.3067000000000003E-2</v>
      </c>
      <c r="I9" s="8">
        <v>0.26207999999999998</v>
      </c>
      <c r="J9" s="8">
        <v>6.2579999999999997E-2</v>
      </c>
      <c r="K9" s="8">
        <v>5.6808999999999998E-2</v>
      </c>
      <c r="L9" s="8">
        <v>4.9861000000000003E-2</v>
      </c>
      <c r="M9" s="8">
        <v>5.6850999999999999E-2</v>
      </c>
      <c r="O9" s="7" t="s">
        <v>6</v>
      </c>
      <c r="P9" s="6">
        <f t="shared" si="1"/>
        <v>6.2639E-2</v>
      </c>
      <c r="Q9" s="6">
        <f t="shared" si="0"/>
        <v>0.44517000000000001</v>
      </c>
      <c r="R9" s="6">
        <f t="shared" si="0"/>
        <v>7.2162000000000004E-2</v>
      </c>
      <c r="S9" s="6">
        <f t="shared" si="0"/>
        <v>5.7754E-2</v>
      </c>
      <c r="T9" s="6">
        <f t="shared" si="0"/>
        <v>6.5041000000000002E-2</v>
      </c>
      <c r="U9" s="6">
        <f t="shared" si="0"/>
        <v>5.9533000000000003E-2</v>
      </c>
      <c r="V9" s="6">
        <f t="shared" si="0"/>
        <v>5.3067000000000003E-2</v>
      </c>
      <c r="W9" s="6">
        <f t="shared" si="0"/>
        <v>0.26207999999999998</v>
      </c>
      <c r="X9" s="6">
        <f t="shared" si="0"/>
        <v>6.2579999999999997E-2</v>
      </c>
      <c r="Y9" s="6">
        <f t="shared" si="0"/>
        <v>5.6808999999999998E-2</v>
      </c>
      <c r="Z9" s="6">
        <f t="shared" si="0"/>
        <v>4.9861000000000003E-2</v>
      </c>
      <c r="AA9" s="6">
        <f t="shared" si="0"/>
        <v>5.6850999999999999E-2</v>
      </c>
      <c r="AC9" s="6" t="s">
        <v>16</v>
      </c>
      <c r="AD9" s="6">
        <f>AD5/AD6</f>
        <v>40.664030361739961</v>
      </c>
    </row>
    <row r="10" spans="1:30" x14ac:dyDescent="0.25">
      <c r="A10" s="9" t="s">
        <v>7</v>
      </c>
      <c r="B10" s="8">
        <v>6.3159999999999994E-2</v>
      </c>
      <c r="C10" s="8">
        <v>0.11432</v>
      </c>
      <c r="D10" s="8">
        <v>7.5520000000000004E-2</v>
      </c>
      <c r="E10" s="8">
        <v>9.8224000000000006E-2</v>
      </c>
      <c r="F10" s="8">
        <v>7.1909000000000001E-2</v>
      </c>
      <c r="G10" s="8">
        <v>9.1426999999999994E-2</v>
      </c>
      <c r="H10" s="8">
        <v>7.2260000000000005E-2</v>
      </c>
      <c r="I10" s="8">
        <v>9.0399999999999994E-2</v>
      </c>
      <c r="J10" s="8">
        <v>5.901E-2</v>
      </c>
      <c r="K10" s="8">
        <v>8.5074999999999998E-2</v>
      </c>
      <c r="L10" s="8">
        <v>5.9284999999999997E-2</v>
      </c>
      <c r="M10" s="8">
        <v>0.11504</v>
      </c>
      <c r="O10" s="7" t="s">
        <v>7</v>
      </c>
      <c r="P10" s="6">
        <f t="shared" si="1"/>
        <v>6.3159999999999994E-2</v>
      </c>
      <c r="Q10" s="6">
        <f t="shared" si="0"/>
        <v>0.11432</v>
      </c>
      <c r="R10" s="6">
        <f t="shared" si="0"/>
        <v>7.5520000000000004E-2</v>
      </c>
      <c r="S10" s="6">
        <f t="shared" si="0"/>
        <v>9.8224000000000006E-2</v>
      </c>
      <c r="T10" s="6">
        <f t="shared" si="0"/>
        <v>7.1909000000000001E-2</v>
      </c>
      <c r="U10" s="6">
        <f t="shared" si="0"/>
        <v>9.1426999999999994E-2</v>
      </c>
      <c r="V10" s="6">
        <f t="shared" si="0"/>
        <v>7.2260000000000005E-2</v>
      </c>
      <c r="W10" s="6">
        <f t="shared" si="0"/>
        <v>9.0399999999999994E-2</v>
      </c>
      <c r="X10" s="6">
        <f t="shared" si="0"/>
        <v>5.901E-2</v>
      </c>
      <c r="Y10" s="6">
        <f t="shared" si="0"/>
        <v>8.5074999999999998E-2</v>
      </c>
      <c r="Z10" s="6">
        <f t="shared" si="0"/>
        <v>5.9284999999999997E-2</v>
      </c>
      <c r="AA10" s="6">
        <f t="shared" si="0"/>
        <v>0.11504</v>
      </c>
    </row>
    <row r="11" spans="1:30" x14ac:dyDescent="0.25">
      <c r="A11" s="9" t="s">
        <v>8</v>
      </c>
      <c r="B11" s="8">
        <v>7.7285999999999994E-2</v>
      </c>
      <c r="C11" s="8">
        <v>8.0104999999999996E-2</v>
      </c>
      <c r="D11" s="8">
        <v>6.7920999999999995E-2</v>
      </c>
      <c r="E11" s="8">
        <v>6.3965999999999995E-2</v>
      </c>
      <c r="F11" s="8">
        <v>7.7599000000000001E-2</v>
      </c>
      <c r="G11" s="8">
        <v>2.3786999999999998</v>
      </c>
      <c r="H11" s="8">
        <v>6.4679E-2</v>
      </c>
      <c r="I11" s="8">
        <v>7.8844999999999998E-2</v>
      </c>
      <c r="J11" s="8">
        <v>6.6480999999999998E-2</v>
      </c>
      <c r="K11" s="8">
        <v>5.3541999999999999E-2</v>
      </c>
      <c r="L11" s="8">
        <v>6.6464999999999996E-2</v>
      </c>
      <c r="M11" s="8">
        <v>2.3102</v>
      </c>
      <c r="O11" s="7" t="s">
        <v>8</v>
      </c>
      <c r="P11" s="6">
        <f t="shared" si="1"/>
        <v>7.7285999999999994E-2</v>
      </c>
      <c r="Q11" s="6">
        <f t="shared" si="0"/>
        <v>8.0104999999999996E-2</v>
      </c>
      <c r="R11" s="6">
        <f t="shared" si="0"/>
        <v>6.7920999999999995E-2</v>
      </c>
      <c r="S11" s="6">
        <f t="shared" si="0"/>
        <v>6.3965999999999995E-2</v>
      </c>
      <c r="T11" s="6">
        <f t="shared" si="0"/>
        <v>7.7599000000000001E-2</v>
      </c>
      <c r="U11" s="6">
        <f t="shared" si="0"/>
        <v>2.3786999999999998</v>
      </c>
      <c r="V11" s="6">
        <f t="shared" si="0"/>
        <v>6.4679E-2</v>
      </c>
      <c r="W11" s="6">
        <f t="shared" si="0"/>
        <v>7.8844999999999998E-2</v>
      </c>
      <c r="X11" s="6">
        <f t="shared" si="0"/>
        <v>6.6480999999999998E-2</v>
      </c>
      <c r="Y11" s="6">
        <f t="shared" si="0"/>
        <v>5.3541999999999999E-2</v>
      </c>
      <c r="Z11" s="6">
        <f t="shared" si="0"/>
        <v>6.6464999999999996E-2</v>
      </c>
      <c r="AA11" s="6">
        <f t="shared" si="0"/>
        <v>2.3102</v>
      </c>
      <c r="AC11" s="6" t="s">
        <v>17</v>
      </c>
      <c r="AD11" s="6" t="str">
        <f>IF((AND(AD5&gt;2,AD5&lt;3,AD9&gt;10)),"PASS","FAIL")</f>
        <v>PASS</v>
      </c>
    </row>
    <row r="12" spans="1:30" x14ac:dyDescent="0.25">
      <c r="A12" s="9" t="s">
        <v>9</v>
      </c>
      <c r="B12" s="8">
        <v>8.0031000000000005E-2</v>
      </c>
      <c r="C12" s="8">
        <v>7.8241000000000005E-2</v>
      </c>
      <c r="D12" s="8">
        <v>5.9593E-2</v>
      </c>
      <c r="E12" s="8">
        <v>7.5878000000000001E-2</v>
      </c>
      <c r="F12" s="8">
        <v>8.5487999999999995E-2</v>
      </c>
      <c r="G12" s="8">
        <v>2.4638</v>
      </c>
      <c r="H12" s="8">
        <v>7.6839000000000005E-2</v>
      </c>
      <c r="I12" s="8">
        <v>6.8159999999999998E-2</v>
      </c>
      <c r="J12" s="8">
        <v>5.9823000000000001E-2</v>
      </c>
      <c r="K12" s="8">
        <v>6.7400000000000002E-2</v>
      </c>
      <c r="L12" s="8">
        <v>9.0982999999999994E-2</v>
      </c>
      <c r="M12" s="8">
        <v>2.2761</v>
      </c>
      <c r="O12" s="7" t="s">
        <v>9</v>
      </c>
      <c r="P12" s="6">
        <f t="shared" si="1"/>
        <v>8.0031000000000005E-2</v>
      </c>
      <c r="Q12" s="6">
        <f t="shared" si="0"/>
        <v>7.8241000000000005E-2</v>
      </c>
      <c r="R12" s="6">
        <f t="shared" si="0"/>
        <v>5.9593E-2</v>
      </c>
      <c r="S12" s="6">
        <f t="shared" si="0"/>
        <v>7.5878000000000001E-2</v>
      </c>
      <c r="T12" s="6">
        <f t="shared" si="0"/>
        <v>8.5487999999999995E-2</v>
      </c>
      <c r="U12" s="6">
        <f t="shared" si="0"/>
        <v>2.4638</v>
      </c>
      <c r="V12" s="6">
        <f t="shared" si="0"/>
        <v>7.6839000000000005E-2</v>
      </c>
      <c r="W12" s="6">
        <f t="shared" si="0"/>
        <v>6.8159999999999998E-2</v>
      </c>
      <c r="X12" s="6">
        <f t="shared" si="0"/>
        <v>5.9823000000000001E-2</v>
      </c>
      <c r="Y12" s="6">
        <f t="shared" si="0"/>
        <v>6.7400000000000002E-2</v>
      </c>
      <c r="Z12" s="6">
        <f t="shared" si="0"/>
        <v>9.0982999999999994E-2</v>
      </c>
      <c r="AA12" s="6">
        <f t="shared" si="0"/>
        <v>2.2761</v>
      </c>
    </row>
    <row r="13" spans="1:30" x14ac:dyDescent="0.25">
      <c r="A13" s="9" t="s">
        <v>68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7" t="s">
        <v>77</v>
      </c>
    </row>
    <row r="14" spans="1:30" x14ac:dyDescent="0.25">
      <c r="A14" s="9" t="s">
        <v>1</v>
      </c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  <c r="O14" s="7" t="s">
        <v>1</v>
      </c>
      <c r="P14" s="6">
        <v>1</v>
      </c>
      <c r="Q14" s="6">
        <v>2</v>
      </c>
      <c r="R14" s="6">
        <v>3</v>
      </c>
      <c r="S14" s="6">
        <v>4</v>
      </c>
      <c r="T14" s="6">
        <v>5</v>
      </c>
      <c r="U14" s="6">
        <v>6</v>
      </c>
      <c r="V14" s="6">
        <v>7</v>
      </c>
      <c r="W14" s="6">
        <v>8</v>
      </c>
      <c r="X14" s="6">
        <v>9</v>
      </c>
      <c r="Y14" s="6">
        <v>10</v>
      </c>
      <c r="Z14" s="6">
        <v>11</v>
      </c>
      <c r="AA14" s="6">
        <v>12</v>
      </c>
      <c r="AC14" s="2" t="s">
        <v>41</v>
      </c>
    </row>
    <row r="15" spans="1:30" x14ac:dyDescent="0.25">
      <c r="A15" s="9" t="s">
        <v>2</v>
      </c>
      <c r="B15" s="8">
        <v>0.10073</v>
      </c>
      <c r="C15" s="8">
        <v>0.12767000000000001</v>
      </c>
      <c r="D15" s="8">
        <v>0.10269</v>
      </c>
      <c r="E15" s="8">
        <v>9.6961000000000006E-2</v>
      </c>
      <c r="F15" s="8">
        <v>0.19866</v>
      </c>
      <c r="G15" s="8">
        <v>6.0768000000000003E-2</v>
      </c>
      <c r="H15" s="8">
        <v>7.8323000000000004E-2</v>
      </c>
      <c r="I15" s="8">
        <v>9.8179000000000002E-2</v>
      </c>
      <c r="J15" s="8">
        <v>0.10355</v>
      </c>
      <c r="K15" s="8">
        <v>0.10754</v>
      </c>
      <c r="L15" s="8">
        <v>0.19481999999999999</v>
      </c>
      <c r="M15" s="8">
        <v>5.1104999999999998E-2</v>
      </c>
      <c r="O15" s="7" t="s">
        <v>2</v>
      </c>
      <c r="P15" s="6">
        <f>B15</f>
        <v>0.10073</v>
      </c>
      <c r="Q15" s="6">
        <f t="shared" ref="Q15:AA22" si="2">C15</f>
        <v>0.12767000000000001</v>
      </c>
      <c r="R15" s="6">
        <f t="shared" si="2"/>
        <v>0.10269</v>
      </c>
      <c r="S15" s="6">
        <f t="shared" si="2"/>
        <v>9.6961000000000006E-2</v>
      </c>
      <c r="T15" s="6">
        <f t="shared" si="2"/>
        <v>0.19866</v>
      </c>
      <c r="U15" s="6">
        <f t="shared" si="2"/>
        <v>6.0768000000000003E-2</v>
      </c>
      <c r="V15" s="6">
        <f t="shared" si="2"/>
        <v>7.8323000000000004E-2</v>
      </c>
      <c r="W15" s="6">
        <f t="shared" si="2"/>
        <v>9.8179000000000002E-2</v>
      </c>
      <c r="X15" s="6">
        <f t="shared" si="2"/>
        <v>0.10355</v>
      </c>
      <c r="Y15" s="6">
        <f t="shared" si="2"/>
        <v>0.10754</v>
      </c>
      <c r="Z15" s="6">
        <f t="shared" si="2"/>
        <v>0.19481999999999999</v>
      </c>
      <c r="AA15" s="6">
        <f t="shared" si="2"/>
        <v>5.1104999999999998E-2</v>
      </c>
      <c r="AC15" s="6" t="s">
        <v>12</v>
      </c>
      <c r="AD15" s="6">
        <f>AVERAGE(U21,U22,AA21,AA22)</f>
        <v>3.2979000000000003</v>
      </c>
    </row>
    <row r="16" spans="1:30" x14ac:dyDescent="0.25">
      <c r="A16" s="9" t="s">
        <v>3</v>
      </c>
      <c r="B16" s="8">
        <v>8.2318000000000002E-2</v>
      </c>
      <c r="C16" s="8">
        <v>9.0729000000000004E-2</v>
      </c>
      <c r="D16" s="8">
        <v>9.5895999999999995E-2</v>
      </c>
      <c r="E16" s="8">
        <v>7.9436000000000007E-2</v>
      </c>
      <c r="F16" s="8">
        <v>7.6609999999999998E-2</v>
      </c>
      <c r="G16" s="8">
        <v>4.4978999999999998E-2</v>
      </c>
      <c r="H16" s="8">
        <v>8.9148000000000005E-2</v>
      </c>
      <c r="I16" s="8">
        <v>7.6365000000000002E-2</v>
      </c>
      <c r="J16" s="8">
        <v>8.8136000000000006E-2</v>
      </c>
      <c r="K16" s="8">
        <v>6.7103999999999997E-2</v>
      </c>
      <c r="L16" s="8">
        <v>6.3629000000000005E-2</v>
      </c>
      <c r="M16" s="8">
        <v>5.2851000000000002E-2</v>
      </c>
      <c r="O16" s="7" t="s">
        <v>3</v>
      </c>
      <c r="P16" s="6">
        <f t="shared" ref="P16:P22" si="3">B16</f>
        <v>8.2318000000000002E-2</v>
      </c>
      <c r="Q16" s="6">
        <f t="shared" si="2"/>
        <v>9.0729000000000004E-2</v>
      </c>
      <c r="R16" s="6">
        <f t="shared" si="2"/>
        <v>9.5895999999999995E-2</v>
      </c>
      <c r="S16" s="6">
        <f t="shared" si="2"/>
        <v>7.9436000000000007E-2</v>
      </c>
      <c r="T16" s="6">
        <f t="shared" si="2"/>
        <v>7.6609999999999998E-2</v>
      </c>
      <c r="U16" s="6">
        <f t="shared" si="2"/>
        <v>4.4978999999999998E-2</v>
      </c>
      <c r="V16" s="6">
        <f t="shared" si="2"/>
        <v>8.9148000000000005E-2</v>
      </c>
      <c r="W16" s="6">
        <f t="shared" si="2"/>
        <v>7.6365000000000002E-2</v>
      </c>
      <c r="X16" s="6">
        <f t="shared" si="2"/>
        <v>8.8136000000000006E-2</v>
      </c>
      <c r="Y16" s="6">
        <f t="shared" si="2"/>
        <v>6.7103999999999997E-2</v>
      </c>
      <c r="Z16" s="6">
        <f t="shared" si="2"/>
        <v>6.3629000000000005E-2</v>
      </c>
      <c r="AA16" s="6">
        <f t="shared" si="2"/>
        <v>5.2851000000000002E-2</v>
      </c>
      <c r="AC16" s="6" t="s">
        <v>13</v>
      </c>
      <c r="AD16" s="6">
        <f>AVERAGE(U15,U16,U17,U18,U19,U20,AA15,AA16,AA17,AA18,AA19,AA20,)</f>
        <v>6.7568076923076925E-2</v>
      </c>
    </row>
    <row r="17" spans="1:30" x14ac:dyDescent="0.25">
      <c r="A17" s="9" t="s">
        <v>4</v>
      </c>
      <c r="B17" s="8">
        <v>0.15237000000000001</v>
      </c>
      <c r="C17" s="8">
        <v>8.7899000000000005E-2</v>
      </c>
      <c r="D17" s="8">
        <v>9.1269000000000003E-2</v>
      </c>
      <c r="E17" s="8">
        <v>0.22522</v>
      </c>
      <c r="F17" s="8">
        <v>0.10857</v>
      </c>
      <c r="G17" s="8">
        <v>5.9832000000000003E-2</v>
      </c>
      <c r="H17" s="8">
        <v>0.11451</v>
      </c>
      <c r="I17" s="8">
        <v>6.7058000000000006E-2</v>
      </c>
      <c r="J17" s="8">
        <v>6.9883000000000001E-2</v>
      </c>
      <c r="K17" s="8">
        <v>0.13511999999999999</v>
      </c>
      <c r="L17" s="8">
        <v>8.3799999999999999E-2</v>
      </c>
      <c r="M17" s="8">
        <v>5.0964000000000002E-2</v>
      </c>
      <c r="O17" s="7" t="s">
        <v>4</v>
      </c>
      <c r="P17" s="6">
        <f t="shared" si="3"/>
        <v>0.15237000000000001</v>
      </c>
      <c r="Q17" s="6">
        <f t="shared" si="2"/>
        <v>8.7899000000000005E-2</v>
      </c>
      <c r="R17" s="6">
        <f t="shared" si="2"/>
        <v>9.1269000000000003E-2</v>
      </c>
      <c r="S17" s="6">
        <f t="shared" si="2"/>
        <v>0.22522</v>
      </c>
      <c r="T17" s="6">
        <f t="shared" si="2"/>
        <v>0.10857</v>
      </c>
      <c r="U17" s="6">
        <f t="shared" si="2"/>
        <v>5.9832000000000003E-2</v>
      </c>
      <c r="V17" s="6">
        <f t="shared" si="2"/>
        <v>0.11451</v>
      </c>
      <c r="W17" s="6">
        <f t="shared" si="2"/>
        <v>6.7058000000000006E-2</v>
      </c>
      <c r="X17" s="6">
        <f t="shared" si="2"/>
        <v>6.9883000000000001E-2</v>
      </c>
      <c r="Y17" s="6">
        <f t="shared" si="2"/>
        <v>0.13511999999999999</v>
      </c>
      <c r="Z17" s="6">
        <f t="shared" si="2"/>
        <v>8.3799999999999999E-2</v>
      </c>
      <c r="AA17" s="6">
        <f t="shared" si="2"/>
        <v>5.0964000000000002E-2</v>
      </c>
      <c r="AC17" s="6" t="s">
        <v>14</v>
      </c>
      <c r="AD17" s="6">
        <f>AD16+(0.35*AD15)</f>
        <v>1.221833076923077</v>
      </c>
    </row>
    <row r="18" spans="1:30" x14ac:dyDescent="0.25">
      <c r="A18" s="9" t="s">
        <v>5</v>
      </c>
      <c r="B18" s="8">
        <v>6.4805000000000001E-2</v>
      </c>
      <c r="C18" s="8">
        <v>8.1401000000000001E-2</v>
      </c>
      <c r="D18" s="8">
        <v>0.11008</v>
      </c>
      <c r="E18" s="8">
        <v>8.1991999999999995E-2</v>
      </c>
      <c r="F18" s="8">
        <v>6.9288000000000002E-2</v>
      </c>
      <c r="G18" s="8">
        <v>6.2337999999999998E-2</v>
      </c>
      <c r="H18" s="8">
        <v>6.7385E-2</v>
      </c>
      <c r="I18" s="8">
        <v>7.0468000000000003E-2</v>
      </c>
      <c r="J18" s="8">
        <v>0.11458</v>
      </c>
      <c r="K18" s="8">
        <v>6.8629999999999997E-2</v>
      </c>
      <c r="L18" s="8">
        <v>5.9879000000000002E-2</v>
      </c>
      <c r="M18" s="8">
        <v>5.3742999999999999E-2</v>
      </c>
      <c r="O18" s="7" t="s">
        <v>5</v>
      </c>
      <c r="P18" s="6">
        <f t="shared" si="3"/>
        <v>6.4805000000000001E-2</v>
      </c>
      <c r="Q18" s="6">
        <f t="shared" si="2"/>
        <v>8.1401000000000001E-2</v>
      </c>
      <c r="R18" s="6">
        <f t="shared" si="2"/>
        <v>0.11008</v>
      </c>
      <c r="S18" s="6">
        <f t="shared" si="2"/>
        <v>8.1991999999999995E-2</v>
      </c>
      <c r="T18" s="6">
        <f t="shared" si="2"/>
        <v>6.9288000000000002E-2</v>
      </c>
      <c r="U18" s="6">
        <f t="shared" si="2"/>
        <v>6.2337999999999998E-2</v>
      </c>
      <c r="V18" s="6">
        <f t="shared" si="2"/>
        <v>6.7385E-2</v>
      </c>
      <c r="W18" s="6">
        <f t="shared" si="2"/>
        <v>7.0468000000000003E-2</v>
      </c>
      <c r="X18" s="6">
        <f t="shared" si="2"/>
        <v>0.11458</v>
      </c>
      <c r="Y18" s="6">
        <f t="shared" si="2"/>
        <v>6.8629999999999997E-2</v>
      </c>
      <c r="Z18" s="6">
        <f t="shared" si="2"/>
        <v>5.9879000000000002E-2</v>
      </c>
      <c r="AA18" s="6">
        <f t="shared" si="2"/>
        <v>5.3742999999999999E-2</v>
      </c>
      <c r="AC18" s="6" t="s">
        <v>15</v>
      </c>
      <c r="AD18" s="6">
        <f>AD16+(0.25*AD15)</f>
        <v>0.89204307692307694</v>
      </c>
    </row>
    <row r="19" spans="1:30" x14ac:dyDescent="0.25">
      <c r="A19" s="9" t="s">
        <v>6</v>
      </c>
      <c r="B19" s="8">
        <v>7.3187000000000002E-2</v>
      </c>
      <c r="C19" s="8">
        <v>0.79083999999999999</v>
      </c>
      <c r="D19" s="8">
        <v>9.3923999999999994E-2</v>
      </c>
      <c r="E19" s="8">
        <v>6.7133999999999999E-2</v>
      </c>
      <c r="F19" s="8">
        <v>7.2445999999999997E-2</v>
      </c>
      <c r="G19" s="8">
        <v>6.0067000000000002E-2</v>
      </c>
      <c r="H19" s="8">
        <v>6.1471999999999999E-2</v>
      </c>
      <c r="I19" s="8">
        <v>0.47305999999999998</v>
      </c>
      <c r="J19" s="8">
        <v>7.8215999999999994E-2</v>
      </c>
      <c r="K19" s="8">
        <v>6.6552E-2</v>
      </c>
      <c r="L19" s="8">
        <v>5.4337000000000003E-2</v>
      </c>
      <c r="M19" s="8">
        <v>7.4247999999999995E-2</v>
      </c>
      <c r="O19" s="7" t="s">
        <v>6</v>
      </c>
      <c r="P19" s="6">
        <f t="shared" si="3"/>
        <v>7.3187000000000002E-2</v>
      </c>
      <c r="Q19" s="6">
        <f t="shared" si="2"/>
        <v>0.79083999999999999</v>
      </c>
      <c r="R19" s="6">
        <f t="shared" si="2"/>
        <v>9.3923999999999994E-2</v>
      </c>
      <c r="S19" s="6">
        <f t="shared" si="2"/>
        <v>6.7133999999999999E-2</v>
      </c>
      <c r="T19" s="6">
        <f t="shared" si="2"/>
        <v>7.2445999999999997E-2</v>
      </c>
      <c r="U19" s="6">
        <f t="shared" si="2"/>
        <v>6.0067000000000002E-2</v>
      </c>
      <c r="V19" s="6">
        <f t="shared" si="2"/>
        <v>6.1471999999999999E-2</v>
      </c>
      <c r="W19" s="6">
        <f t="shared" si="2"/>
        <v>0.47305999999999998</v>
      </c>
      <c r="X19" s="6">
        <f t="shared" si="2"/>
        <v>7.8215999999999994E-2</v>
      </c>
      <c r="Y19" s="6">
        <f t="shared" si="2"/>
        <v>6.6552E-2</v>
      </c>
      <c r="Z19" s="6">
        <f t="shared" si="2"/>
        <v>5.4337000000000003E-2</v>
      </c>
      <c r="AA19" s="6">
        <f t="shared" si="2"/>
        <v>7.4247999999999995E-2</v>
      </c>
      <c r="AC19" s="6" t="s">
        <v>16</v>
      </c>
      <c r="AD19" s="6">
        <f>AD15/AD16</f>
        <v>48.80855205860756</v>
      </c>
    </row>
    <row r="20" spans="1:30" x14ac:dyDescent="0.25">
      <c r="A20" s="9" t="s">
        <v>7</v>
      </c>
      <c r="B20" s="8">
        <v>7.5037999999999994E-2</v>
      </c>
      <c r="C20" s="8">
        <v>0.17254</v>
      </c>
      <c r="D20" s="8">
        <v>9.4597000000000001E-2</v>
      </c>
      <c r="E20" s="8">
        <v>0.16073000000000001</v>
      </c>
      <c r="F20" s="8">
        <v>8.8134000000000004E-2</v>
      </c>
      <c r="G20" s="8">
        <v>0.12567</v>
      </c>
      <c r="H20" s="8">
        <v>8.0686999999999995E-2</v>
      </c>
      <c r="I20" s="8">
        <v>0.12620000000000001</v>
      </c>
      <c r="J20" s="8">
        <v>7.0624000000000006E-2</v>
      </c>
      <c r="K20" s="8">
        <v>0.12213</v>
      </c>
      <c r="L20" s="8">
        <v>7.0731000000000002E-2</v>
      </c>
      <c r="M20" s="8">
        <v>0.18182000000000001</v>
      </c>
      <c r="O20" s="7" t="s">
        <v>7</v>
      </c>
      <c r="P20" s="6">
        <f t="shared" si="3"/>
        <v>7.5037999999999994E-2</v>
      </c>
      <c r="Q20" s="6">
        <f t="shared" si="2"/>
        <v>0.17254</v>
      </c>
      <c r="R20" s="6">
        <f t="shared" si="2"/>
        <v>9.4597000000000001E-2</v>
      </c>
      <c r="S20" s="6">
        <f t="shared" si="2"/>
        <v>0.16073000000000001</v>
      </c>
      <c r="T20" s="6">
        <f t="shared" si="2"/>
        <v>8.8134000000000004E-2</v>
      </c>
      <c r="U20" s="6">
        <f t="shared" si="2"/>
        <v>0.12567</v>
      </c>
      <c r="V20" s="6">
        <f t="shared" si="2"/>
        <v>8.0686999999999995E-2</v>
      </c>
      <c r="W20" s="6">
        <f t="shared" si="2"/>
        <v>0.12620000000000001</v>
      </c>
      <c r="X20" s="6">
        <f t="shared" si="2"/>
        <v>7.0624000000000006E-2</v>
      </c>
      <c r="Y20" s="6">
        <f t="shared" si="2"/>
        <v>0.12213</v>
      </c>
      <c r="Z20" s="6">
        <f t="shared" si="2"/>
        <v>7.0731000000000002E-2</v>
      </c>
      <c r="AA20" s="6">
        <f t="shared" si="2"/>
        <v>0.18182000000000001</v>
      </c>
    </row>
    <row r="21" spans="1:30" x14ac:dyDescent="0.25">
      <c r="A21" s="9" t="s">
        <v>8</v>
      </c>
      <c r="B21" s="8">
        <v>9.4132999999999994E-2</v>
      </c>
      <c r="C21" s="8">
        <v>0.10693</v>
      </c>
      <c r="D21" s="8">
        <v>7.8387999999999999E-2</v>
      </c>
      <c r="E21" s="8">
        <v>7.1885000000000004E-2</v>
      </c>
      <c r="F21" s="8">
        <v>9.5402000000000001E-2</v>
      </c>
      <c r="G21" s="8">
        <v>3.3433000000000002</v>
      </c>
      <c r="H21" s="8">
        <v>8.2372000000000001E-2</v>
      </c>
      <c r="I21" s="8">
        <v>9.9143999999999996E-2</v>
      </c>
      <c r="J21" s="8">
        <v>7.4138999999999997E-2</v>
      </c>
      <c r="K21" s="8">
        <v>6.3732999999999998E-2</v>
      </c>
      <c r="L21" s="8">
        <v>8.5757E-2</v>
      </c>
      <c r="M21" s="8">
        <v>3.1821000000000002</v>
      </c>
      <c r="O21" s="7" t="s">
        <v>8</v>
      </c>
      <c r="P21" s="6">
        <f t="shared" si="3"/>
        <v>9.4132999999999994E-2</v>
      </c>
      <c r="Q21" s="6">
        <f t="shared" si="2"/>
        <v>0.10693</v>
      </c>
      <c r="R21" s="6">
        <f t="shared" si="2"/>
        <v>7.8387999999999999E-2</v>
      </c>
      <c r="S21" s="6">
        <f t="shared" si="2"/>
        <v>7.1885000000000004E-2</v>
      </c>
      <c r="T21" s="6">
        <f t="shared" si="2"/>
        <v>9.5402000000000001E-2</v>
      </c>
      <c r="U21" s="6">
        <f t="shared" si="2"/>
        <v>3.3433000000000002</v>
      </c>
      <c r="V21" s="6">
        <f t="shared" si="2"/>
        <v>8.2372000000000001E-2</v>
      </c>
      <c r="W21" s="6">
        <f t="shared" si="2"/>
        <v>9.9143999999999996E-2</v>
      </c>
      <c r="X21" s="6">
        <f t="shared" si="2"/>
        <v>7.4138999999999997E-2</v>
      </c>
      <c r="Y21" s="6">
        <f t="shared" si="2"/>
        <v>6.3732999999999998E-2</v>
      </c>
      <c r="Z21" s="6">
        <f t="shared" si="2"/>
        <v>8.5757E-2</v>
      </c>
      <c r="AA21" s="6">
        <f t="shared" si="2"/>
        <v>3.1821000000000002</v>
      </c>
      <c r="AC21" s="6" t="s">
        <v>17</v>
      </c>
      <c r="AD21" s="6" t="str">
        <f>IF((AND(AD15&gt;2,AD15&lt;3,AD19&gt;10)),"PASS","FAIL")</f>
        <v>FAIL</v>
      </c>
    </row>
    <row r="22" spans="1:30" x14ac:dyDescent="0.25">
      <c r="A22" s="9" t="s">
        <v>9</v>
      </c>
      <c r="B22" s="8">
        <v>0.10598</v>
      </c>
      <c r="C22" s="8">
        <v>9.7453999999999999E-2</v>
      </c>
      <c r="D22" s="8">
        <v>6.1001E-2</v>
      </c>
      <c r="E22" s="8">
        <v>9.1872999999999996E-2</v>
      </c>
      <c r="F22" s="8">
        <v>0.11749999999999999</v>
      </c>
      <c r="G22" s="8">
        <v>3.3866000000000001</v>
      </c>
      <c r="H22" s="8">
        <v>9.3380000000000005E-2</v>
      </c>
      <c r="I22" s="8">
        <v>8.5406999999999997E-2</v>
      </c>
      <c r="J22" s="8">
        <v>6.0989000000000002E-2</v>
      </c>
      <c r="K22" s="8">
        <v>7.8354999999999994E-2</v>
      </c>
      <c r="L22" s="8">
        <v>0.12274</v>
      </c>
      <c r="M22" s="8">
        <v>3.2795999999999998</v>
      </c>
      <c r="O22" s="7" t="s">
        <v>9</v>
      </c>
      <c r="P22" s="6">
        <f t="shared" si="3"/>
        <v>0.10598</v>
      </c>
      <c r="Q22" s="6">
        <f t="shared" si="2"/>
        <v>9.7453999999999999E-2</v>
      </c>
      <c r="R22" s="6">
        <f t="shared" si="2"/>
        <v>6.1001E-2</v>
      </c>
      <c r="S22" s="6">
        <f t="shared" si="2"/>
        <v>9.1872999999999996E-2</v>
      </c>
      <c r="T22" s="6">
        <f t="shared" si="2"/>
        <v>0.11749999999999999</v>
      </c>
      <c r="U22" s="6">
        <f t="shared" si="2"/>
        <v>3.3866000000000001</v>
      </c>
      <c r="V22" s="6">
        <f t="shared" si="2"/>
        <v>9.3380000000000005E-2</v>
      </c>
      <c r="W22" s="6">
        <f t="shared" si="2"/>
        <v>8.5406999999999997E-2</v>
      </c>
      <c r="X22" s="6">
        <f t="shared" si="2"/>
        <v>6.0989000000000002E-2</v>
      </c>
      <c r="Y22" s="6">
        <f t="shared" si="2"/>
        <v>7.8354999999999994E-2</v>
      </c>
      <c r="Z22" s="6">
        <f t="shared" si="2"/>
        <v>0.12274</v>
      </c>
      <c r="AA22" s="6">
        <f t="shared" si="2"/>
        <v>3.2795999999999998</v>
      </c>
    </row>
    <row r="23" spans="1:30" x14ac:dyDescent="0.25">
      <c r="A23" s="9" t="s">
        <v>69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7" t="s">
        <v>78</v>
      </c>
    </row>
    <row r="24" spans="1:30" x14ac:dyDescent="0.25">
      <c r="A24" s="9" t="s">
        <v>1</v>
      </c>
      <c r="B24" s="8">
        <v>1</v>
      </c>
      <c r="C24" s="8">
        <v>2</v>
      </c>
      <c r="D24" s="8">
        <v>3</v>
      </c>
      <c r="E24" s="8">
        <v>4</v>
      </c>
      <c r="F24" s="8">
        <v>5</v>
      </c>
      <c r="G24" s="8">
        <v>6</v>
      </c>
      <c r="H24" s="8">
        <v>7</v>
      </c>
      <c r="I24" s="8">
        <v>8</v>
      </c>
      <c r="J24" s="8">
        <v>9</v>
      </c>
      <c r="K24" s="8">
        <v>10</v>
      </c>
      <c r="L24" s="8">
        <v>11</v>
      </c>
      <c r="M24" s="8">
        <v>12</v>
      </c>
      <c r="O24" s="7" t="s">
        <v>1</v>
      </c>
      <c r="P24" s="6">
        <v>1</v>
      </c>
      <c r="Q24" s="6">
        <v>2</v>
      </c>
      <c r="R24" s="6">
        <v>3</v>
      </c>
      <c r="S24" s="6">
        <v>4</v>
      </c>
      <c r="T24" s="6">
        <v>5</v>
      </c>
      <c r="U24" s="6">
        <v>6</v>
      </c>
      <c r="V24" s="6">
        <v>7</v>
      </c>
      <c r="W24" s="6">
        <v>8</v>
      </c>
      <c r="X24" s="6">
        <v>9</v>
      </c>
      <c r="Y24" s="6">
        <v>10</v>
      </c>
      <c r="Z24" s="6">
        <v>11</v>
      </c>
      <c r="AA24" s="6">
        <v>12</v>
      </c>
      <c r="AC24" s="2" t="s">
        <v>42</v>
      </c>
    </row>
    <row r="25" spans="1:30" x14ac:dyDescent="0.25">
      <c r="A25" s="9" t="s">
        <v>2</v>
      </c>
      <c r="B25" s="8">
        <v>0.13555</v>
      </c>
      <c r="C25" s="8">
        <v>0.18118999999999999</v>
      </c>
      <c r="D25" s="8">
        <v>0.13328000000000001</v>
      </c>
      <c r="E25" s="8">
        <v>0.12105</v>
      </c>
      <c r="F25" s="8">
        <v>0.27244000000000002</v>
      </c>
      <c r="G25" s="8">
        <v>6.2133000000000001E-2</v>
      </c>
      <c r="H25" s="8">
        <v>0.10328</v>
      </c>
      <c r="I25" s="8">
        <v>0.13696</v>
      </c>
      <c r="J25" s="8">
        <v>0.14702000000000001</v>
      </c>
      <c r="K25" s="8">
        <v>0.16277</v>
      </c>
      <c r="L25" s="8">
        <v>0.29641000000000001</v>
      </c>
      <c r="M25" s="8">
        <v>7.0132E-2</v>
      </c>
      <c r="O25" s="7" t="s">
        <v>2</v>
      </c>
      <c r="P25" s="6">
        <f>B25</f>
        <v>0.13555</v>
      </c>
      <c r="Q25" s="6">
        <f t="shared" ref="Q25:AA32" si="4">C25</f>
        <v>0.18118999999999999</v>
      </c>
      <c r="R25" s="6">
        <f t="shared" si="4"/>
        <v>0.13328000000000001</v>
      </c>
      <c r="S25" s="6">
        <f t="shared" si="4"/>
        <v>0.12105</v>
      </c>
      <c r="T25" s="6">
        <f t="shared" si="4"/>
        <v>0.27244000000000002</v>
      </c>
      <c r="U25" s="6">
        <f t="shared" si="4"/>
        <v>6.2133000000000001E-2</v>
      </c>
      <c r="V25" s="6">
        <f t="shared" si="4"/>
        <v>0.10328</v>
      </c>
      <c r="W25" s="6">
        <f t="shared" si="4"/>
        <v>0.13696</v>
      </c>
      <c r="X25" s="6">
        <f t="shared" si="4"/>
        <v>0.14702000000000001</v>
      </c>
      <c r="Y25" s="6">
        <f t="shared" si="4"/>
        <v>0.16277</v>
      </c>
      <c r="Z25" s="6">
        <f t="shared" si="4"/>
        <v>0.29641000000000001</v>
      </c>
      <c r="AA25" s="6">
        <f t="shared" si="4"/>
        <v>7.0132E-2</v>
      </c>
      <c r="AC25" s="6" t="s">
        <v>12</v>
      </c>
      <c r="AD25" s="6">
        <f>AVERAGE(U31,U32,AA31,AA32)</f>
        <v>3.4483500000000005</v>
      </c>
    </row>
    <row r="26" spans="1:30" x14ac:dyDescent="0.25">
      <c r="A26" s="9" t="s">
        <v>3</v>
      </c>
      <c r="B26" s="8">
        <v>0.10382</v>
      </c>
      <c r="C26" s="8">
        <v>0.10807</v>
      </c>
      <c r="D26" s="8">
        <v>0.11565</v>
      </c>
      <c r="E26" s="8">
        <v>9.4783000000000006E-2</v>
      </c>
      <c r="F26" s="8">
        <v>8.6465E-2</v>
      </c>
      <c r="G26" s="8">
        <v>5.5881E-2</v>
      </c>
      <c r="H26" s="8">
        <v>0.10586</v>
      </c>
      <c r="I26" s="8">
        <v>9.8337999999999995E-2</v>
      </c>
      <c r="J26" s="8">
        <v>0.11831999999999999</v>
      </c>
      <c r="K26" s="8">
        <v>9.5611000000000002E-2</v>
      </c>
      <c r="L26" s="8">
        <v>9.5762E-2</v>
      </c>
      <c r="M26" s="8">
        <v>7.6589000000000004E-2</v>
      </c>
      <c r="O26" s="7" t="s">
        <v>3</v>
      </c>
      <c r="P26" s="6">
        <f t="shared" ref="P26:P32" si="5">B26</f>
        <v>0.10382</v>
      </c>
      <c r="Q26" s="6">
        <f t="shared" si="4"/>
        <v>0.10807</v>
      </c>
      <c r="R26" s="6">
        <f t="shared" si="4"/>
        <v>0.11565</v>
      </c>
      <c r="S26" s="6">
        <f t="shared" si="4"/>
        <v>9.4783000000000006E-2</v>
      </c>
      <c r="T26" s="6">
        <f t="shared" si="4"/>
        <v>8.6465E-2</v>
      </c>
      <c r="U26" s="6">
        <f t="shared" si="4"/>
        <v>5.5881E-2</v>
      </c>
      <c r="V26" s="6">
        <f t="shared" si="4"/>
        <v>0.10586</v>
      </c>
      <c r="W26" s="6">
        <f t="shared" si="4"/>
        <v>9.8337999999999995E-2</v>
      </c>
      <c r="X26" s="6">
        <f t="shared" si="4"/>
        <v>0.11831999999999999</v>
      </c>
      <c r="Y26" s="6">
        <f t="shared" si="4"/>
        <v>9.5611000000000002E-2</v>
      </c>
      <c r="Z26" s="6">
        <f t="shared" si="4"/>
        <v>9.5762E-2</v>
      </c>
      <c r="AA26" s="6">
        <f t="shared" si="4"/>
        <v>7.6589000000000004E-2</v>
      </c>
      <c r="AC26" s="6" t="s">
        <v>13</v>
      </c>
      <c r="AD26" s="6">
        <f>AVERAGE(U25,U26,U27,U28,U29,U30,AA25,AA26,AA27,AA28,AA29,AA30,)</f>
        <v>8.4687923076923077E-2</v>
      </c>
    </row>
    <row r="27" spans="1:30" x14ac:dyDescent="0.25">
      <c r="A27" s="9" t="s">
        <v>4</v>
      </c>
      <c r="B27" s="8">
        <v>0.21204000000000001</v>
      </c>
      <c r="C27" s="8">
        <v>0.12221</v>
      </c>
      <c r="D27" s="8">
        <v>0.11038000000000001</v>
      </c>
      <c r="E27" s="8">
        <v>0.31818000000000002</v>
      </c>
      <c r="F27" s="8">
        <v>0.13547000000000001</v>
      </c>
      <c r="G27" s="8">
        <v>5.9976000000000002E-2</v>
      </c>
      <c r="H27" s="8">
        <v>0.14580000000000001</v>
      </c>
      <c r="I27" s="8">
        <v>8.5247000000000003E-2</v>
      </c>
      <c r="J27" s="8">
        <v>0.10165</v>
      </c>
      <c r="K27" s="8">
        <v>0.20222000000000001</v>
      </c>
      <c r="L27" s="8">
        <v>0.12025</v>
      </c>
      <c r="M27" s="8">
        <v>7.0762000000000005E-2</v>
      </c>
      <c r="O27" s="7" t="s">
        <v>4</v>
      </c>
      <c r="P27" s="6">
        <f t="shared" si="5"/>
        <v>0.21204000000000001</v>
      </c>
      <c r="Q27" s="6">
        <f t="shared" si="4"/>
        <v>0.12221</v>
      </c>
      <c r="R27" s="6">
        <f t="shared" si="4"/>
        <v>0.11038000000000001</v>
      </c>
      <c r="S27" s="6">
        <f t="shared" si="4"/>
        <v>0.31818000000000002</v>
      </c>
      <c r="T27" s="6">
        <f t="shared" si="4"/>
        <v>0.13547000000000001</v>
      </c>
      <c r="U27" s="6">
        <f t="shared" si="4"/>
        <v>5.9976000000000002E-2</v>
      </c>
      <c r="V27" s="6">
        <f t="shared" si="4"/>
        <v>0.14580000000000001</v>
      </c>
      <c r="W27" s="6">
        <f t="shared" si="4"/>
        <v>8.5247000000000003E-2</v>
      </c>
      <c r="X27" s="6">
        <f t="shared" si="4"/>
        <v>0.10165</v>
      </c>
      <c r="Y27" s="6">
        <f t="shared" si="4"/>
        <v>0.20222000000000001</v>
      </c>
      <c r="Z27" s="6">
        <f t="shared" si="4"/>
        <v>0.12025</v>
      </c>
      <c r="AA27" s="6">
        <f t="shared" si="4"/>
        <v>7.0762000000000005E-2</v>
      </c>
      <c r="AC27" s="6" t="s">
        <v>14</v>
      </c>
      <c r="AD27" s="6">
        <f>AD26+(0.35*AD25)</f>
        <v>1.2916104230769232</v>
      </c>
    </row>
    <row r="28" spans="1:30" x14ac:dyDescent="0.25">
      <c r="A28" s="9" t="s">
        <v>5</v>
      </c>
      <c r="B28" s="8">
        <v>9.0273000000000006E-2</v>
      </c>
      <c r="C28" s="8">
        <v>0.10231</v>
      </c>
      <c r="D28" s="8">
        <v>0.16769000000000001</v>
      </c>
      <c r="E28" s="8">
        <v>9.8645999999999998E-2</v>
      </c>
      <c r="F28" s="8">
        <v>8.2143999999999995E-2</v>
      </c>
      <c r="G28" s="8">
        <v>6.3714999999999994E-2</v>
      </c>
      <c r="H28" s="8">
        <v>8.7251999999999996E-2</v>
      </c>
      <c r="I28" s="8">
        <v>8.9321999999999999E-2</v>
      </c>
      <c r="J28" s="8">
        <v>0.18054999999999999</v>
      </c>
      <c r="K28" s="8">
        <v>8.7980000000000003E-2</v>
      </c>
      <c r="L28" s="8">
        <v>8.2238000000000006E-2</v>
      </c>
      <c r="M28" s="8">
        <v>5.4701E-2</v>
      </c>
      <c r="O28" s="7" t="s">
        <v>5</v>
      </c>
      <c r="P28" s="6">
        <f t="shared" si="5"/>
        <v>9.0273000000000006E-2</v>
      </c>
      <c r="Q28" s="6">
        <f t="shared" si="4"/>
        <v>0.10231</v>
      </c>
      <c r="R28" s="6">
        <f t="shared" si="4"/>
        <v>0.16769000000000001</v>
      </c>
      <c r="S28" s="6">
        <f t="shared" si="4"/>
        <v>9.8645999999999998E-2</v>
      </c>
      <c r="T28" s="6">
        <f t="shared" si="4"/>
        <v>8.2143999999999995E-2</v>
      </c>
      <c r="U28" s="6">
        <f t="shared" si="4"/>
        <v>6.3714999999999994E-2</v>
      </c>
      <c r="V28" s="6">
        <f t="shared" si="4"/>
        <v>8.7251999999999996E-2</v>
      </c>
      <c r="W28" s="6">
        <f t="shared" si="4"/>
        <v>8.9321999999999999E-2</v>
      </c>
      <c r="X28" s="6">
        <f t="shared" si="4"/>
        <v>0.18054999999999999</v>
      </c>
      <c r="Y28" s="6">
        <f t="shared" si="4"/>
        <v>8.7980000000000003E-2</v>
      </c>
      <c r="Z28" s="6">
        <f t="shared" si="4"/>
        <v>8.2238000000000006E-2</v>
      </c>
      <c r="AA28" s="6">
        <f t="shared" si="4"/>
        <v>5.4701E-2</v>
      </c>
      <c r="AC28" s="6" t="s">
        <v>15</v>
      </c>
      <c r="AD28" s="6">
        <f>AD26+(0.25*AD25)</f>
        <v>0.94677542307692319</v>
      </c>
    </row>
    <row r="29" spans="1:30" x14ac:dyDescent="0.25">
      <c r="A29" s="9" t="s">
        <v>6</v>
      </c>
      <c r="B29" s="8">
        <v>9.2137999999999998E-2</v>
      </c>
      <c r="C29" s="8">
        <v>1.1585000000000001</v>
      </c>
      <c r="D29" s="8">
        <v>0.13183</v>
      </c>
      <c r="E29" s="8">
        <v>0.10101</v>
      </c>
      <c r="F29" s="8">
        <v>6.8598000000000006E-2</v>
      </c>
      <c r="G29" s="8">
        <v>6.0490000000000002E-2</v>
      </c>
      <c r="H29" s="8">
        <v>8.1442000000000001E-2</v>
      </c>
      <c r="I29" s="8">
        <v>0.72477000000000003</v>
      </c>
      <c r="J29" s="8">
        <v>0.11067</v>
      </c>
      <c r="K29" s="8">
        <v>9.6833000000000002E-2</v>
      </c>
      <c r="L29" s="8">
        <v>7.4635000000000007E-2</v>
      </c>
      <c r="M29" s="8">
        <v>7.6633999999999994E-2</v>
      </c>
      <c r="O29" s="7" t="s">
        <v>6</v>
      </c>
      <c r="P29" s="6">
        <f t="shared" si="5"/>
        <v>9.2137999999999998E-2</v>
      </c>
      <c r="Q29" s="6">
        <f t="shared" si="4"/>
        <v>1.1585000000000001</v>
      </c>
      <c r="R29" s="6">
        <f t="shared" si="4"/>
        <v>0.13183</v>
      </c>
      <c r="S29" s="6">
        <f t="shared" si="4"/>
        <v>0.10101</v>
      </c>
      <c r="T29" s="6">
        <f t="shared" si="4"/>
        <v>6.8598000000000006E-2</v>
      </c>
      <c r="U29" s="6">
        <f t="shared" si="4"/>
        <v>6.0490000000000002E-2</v>
      </c>
      <c r="V29" s="6">
        <f t="shared" si="4"/>
        <v>8.1442000000000001E-2</v>
      </c>
      <c r="W29" s="6">
        <f t="shared" si="4"/>
        <v>0.72477000000000003</v>
      </c>
      <c r="X29" s="6">
        <f t="shared" si="4"/>
        <v>0.11067</v>
      </c>
      <c r="Y29" s="6">
        <f t="shared" si="4"/>
        <v>9.6833000000000002E-2</v>
      </c>
      <c r="Z29" s="6">
        <f t="shared" si="4"/>
        <v>7.4635000000000007E-2</v>
      </c>
      <c r="AA29" s="6">
        <f t="shared" si="4"/>
        <v>7.6633999999999994E-2</v>
      </c>
      <c r="AC29" s="6" t="s">
        <v>16</v>
      </c>
      <c r="AD29" s="6">
        <f>AD25/AD26</f>
        <v>40.718320567004838</v>
      </c>
    </row>
    <row r="30" spans="1:30" x14ac:dyDescent="0.25">
      <c r="A30" s="9" t="s">
        <v>7</v>
      </c>
      <c r="B30" s="8">
        <v>9.1620999999999994E-2</v>
      </c>
      <c r="C30" s="8">
        <v>0.25256000000000001</v>
      </c>
      <c r="D30" s="8">
        <v>0.12028</v>
      </c>
      <c r="E30" s="8">
        <v>0.22439999999999999</v>
      </c>
      <c r="F30" s="8">
        <v>0.10579</v>
      </c>
      <c r="G30" s="8">
        <v>0.16854</v>
      </c>
      <c r="H30" s="8">
        <v>9.9385000000000001E-2</v>
      </c>
      <c r="I30" s="8">
        <v>0.18931999999999999</v>
      </c>
      <c r="J30" s="8">
        <v>0.10525</v>
      </c>
      <c r="K30" s="8">
        <v>0.1905</v>
      </c>
      <c r="L30" s="8">
        <v>0.12894</v>
      </c>
      <c r="M30" s="8">
        <v>0.28138999999999997</v>
      </c>
      <c r="O30" s="7" t="s">
        <v>7</v>
      </c>
      <c r="P30" s="6">
        <f t="shared" si="5"/>
        <v>9.1620999999999994E-2</v>
      </c>
      <c r="Q30" s="6">
        <f t="shared" si="4"/>
        <v>0.25256000000000001</v>
      </c>
      <c r="R30" s="6">
        <f t="shared" si="4"/>
        <v>0.12028</v>
      </c>
      <c r="S30" s="6">
        <f t="shared" si="4"/>
        <v>0.22439999999999999</v>
      </c>
      <c r="T30" s="6">
        <f t="shared" si="4"/>
        <v>0.10579</v>
      </c>
      <c r="U30" s="6">
        <f t="shared" si="4"/>
        <v>0.16854</v>
      </c>
      <c r="V30" s="6">
        <f t="shared" si="4"/>
        <v>9.9385000000000001E-2</v>
      </c>
      <c r="W30" s="6">
        <f t="shared" si="4"/>
        <v>0.18931999999999999</v>
      </c>
      <c r="X30" s="6">
        <f t="shared" si="4"/>
        <v>0.10525</v>
      </c>
      <c r="Y30" s="6">
        <f t="shared" si="4"/>
        <v>0.1905</v>
      </c>
      <c r="Z30" s="6">
        <f t="shared" si="4"/>
        <v>0.12894</v>
      </c>
      <c r="AA30" s="6">
        <f t="shared" si="4"/>
        <v>0.28138999999999997</v>
      </c>
    </row>
    <row r="31" spans="1:30" x14ac:dyDescent="0.25">
      <c r="A31" s="9" t="s">
        <v>8</v>
      </c>
      <c r="B31" s="8">
        <v>0.1148</v>
      </c>
      <c r="C31" s="8">
        <v>0.14358000000000001</v>
      </c>
      <c r="D31" s="8">
        <v>9.3273999999999996E-2</v>
      </c>
      <c r="E31" s="8">
        <v>8.3695000000000006E-2</v>
      </c>
      <c r="F31" s="8">
        <v>0.11648</v>
      </c>
      <c r="G31" s="8">
        <v>3.4363000000000001</v>
      </c>
      <c r="H31" s="8">
        <v>9.7197000000000006E-2</v>
      </c>
      <c r="I31" s="8">
        <v>0.12221</v>
      </c>
      <c r="J31" s="8">
        <v>8.4281999999999996E-2</v>
      </c>
      <c r="K31" s="8">
        <v>8.4164000000000003E-2</v>
      </c>
      <c r="L31" s="8">
        <v>0.11218</v>
      </c>
      <c r="M31" s="8">
        <v>3.4493999999999998</v>
      </c>
      <c r="O31" s="7" t="s">
        <v>8</v>
      </c>
      <c r="P31" s="6">
        <f t="shared" si="5"/>
        <v>0.1148</v>
      </c>
      <c r="Q31" s="6">
        <f t="shared" si="4"/>
        <v>0.14358000000000001</v>
      </c>
      <c r="R31" s="6">
        <f t="shared" si="4"/>
        <v>9.3273999999999996E-2</v>
      </c>
      <c r="S31" s="6">
        <f t="shared" si="4"/>
        <v>8.3695000000000006E-2</v>
      </c>
      <c r="T31" s="6">
        <f t="shared" si="4"/>
        <v>0.11648</v>
      </c>
      <c r="U31" s="6">
        <f t="shared" si="4"/>
        <v>3.4363000000000001</v>
      </c>
      <c r="V31" s="6">
        <f t="shared" si="4"/>
        <v>9.7197000000000006E-2</v>
      </c>
      <c r="W31" s="6">
        <f t="shared" si="4"/>
        <v>0.12221</v>
      </c>
      <c r="X31" s="6">
        <f t="shared" si="4"/>
        <v>8.4281999999999996E-2</v>
      </c>
      <c r="Y31" s="6">
        <f t="shared" si="4"/>
        <v>8.4164000000000003E-2</v>
      </c>
      <c r="Z31" s="6">
        <f t="shared" si="4"/>
        <v>0.11218</v>
      </c>
      <c r="AA31" s="6">
        <f t="shared" si="4"/>
        <v>3.4493999999999998</v>
      </c>
      <c r="AC31" s="6" t="s">
        <v>17</v>
      </c>
      <c r="AD31" s="6" t="str">
        <f>IF((AND(AD25&gt;2,AD25&lt;3,AD29&gt;10)),"PASS","FAIL")</f>
        <v>FAIL</v>
      </c>
    </row>
    <row r="32" spans="1:30" x14ac:dyDescent="0.25">
      <c r="A32" s="9" t="s">
        <v>9</v>
      </c>
      <c r="B32" s="8">
        <v>0.13438</v>
      </c>
      <c r="C32" s="8">
        <v>0.1197</v>
      </c>
      <c r="D32" s="8">
        <v>6.2434999999999997E-2</v>
      </c>
      <c r="E32" s="8">
        <v>0.11092</v>
      </c>
      <c r="F32" s="8">
        <v>0.15357999999999999</v>
      </c>
      <c r="G32" s="8">
        <v>3.4552</v>
      </c>
      <c r="H32" s="8">
        <v>0.11337</v>
      </c>
      <c r="I32" s="8">
        <v>0.11536</v>
      </c>
      <c r="J32" s="8">
        <v>6.2295000000000003E-2</v>
      </c>
      <c r="K32" s="8">
        <v>9.3245999999999996E-2</v>
      </c>
      <c r="L32" s="8">
        <v>0.16003000000000001</v>
      </c>
      <c r="M32" s="8">
        <v>3.4525000000000001</v>
      </c>
      <c r="O32" s="7" t="s">
        <v>9</v>
      </c>
      <c r="P32" s="6">
        <f t="shared" si="5"/>
        <v>0.13438</v>
      </c>
      <c r="Q32" s="6">
        <f t="shared" si="4"/>
        <v>0.1197</v>
      </c>
      <c r="R32" s="6">
        <f t="shared" si="4"/>
        <v>6.2434999999999997E-2</v>
      </c>
      <c r="S32" s="6">
        <f t="shared" si="4"/>
        <v>0.11092</v>
      </c>
      <c r="T32" s="6">
        <f t="shared" si="4"/>
        <v>0.15357999999999999</v>
      </c>
      <c r="U32" s="6">
        <f t="shared" si="4"/>
        <v>3.4552</v>
      </c>
      <c r="V32" s="6">
        <f t="shared" si="4"/>
        <v>0.11337</v>
      </c>
      <c r="W32" s="6">
        <f t="shared" si="4"/>
        <v>0.11536</v>
      </c>
      <c r="X32" s="6">
        <f t="shared" si="4"/>
        <v>6.2295000000000003E-2</v>
      </c>
      <c r="Y32" s="6">
        <f t="shared" si="4"/>
        <v>9.3245999999999996E-2</v>
      </c>
      <c r="Z32" s="6">
        <f t="shared" si="4"/>
        <v>0.16003000000000001</v>
      </c>
      <c r="AA32" s="6">
        <f t="shared" si="4"/>
        <v>3.4525000000000001</v>
      </c>
    </row>
    <row r="33" spans="1:13" x14ac:dyDescent="0.25">
      <c r="A33" s="9" t="s">
        <v>10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5">
      <c r="A34" s="9" t="s">
        <v>1</v>
      </c>
      <c r="B34" s="8">
        <v>1</v>
      </c>
      <c r="C34" s="8">
        <v>2</v>
      </c>
      <c r="D34" s="8">
        <v>3</v>
      </c>
      <c r="E34" s="8">
        <v>4</v>
      </c>
      <c r="F34" s="8">
        <v>5</v>
      </c>
      <c r="G34" s="8">
        <v>6</v>
      </c>
      <c r="H34" s="8">
        <v>7</v>
      </c>
      <c r="I34" s="8">
        <v>8</v>
      </c>
      <c r="J34" s="8">
        <v>9</v>
      </c>
      <c r="K34" s="8">
        <v>10</v>
      </c>
      <c r="L34" s="8">
        <v>11</v>
      </c>
      <c r="M34" s="8">
        <v>12</v>
      </c>
    </row>
    <row r="35" spans="1:13" x14ac:dyDescent="0.25">
      <c r="A35" s="9" t="s">
        <v>2</v>
      </c>
      <c r="B35" s="8">
        <v>6.8538000000000002E-2</v>
      </c>
      <c r="C35" s="8">
        <v>8.2725000000000007E-2</v>
      </c>
      <c r="D35" s="8">
        <v>7.9078999999999997E-2</v>
      </c>
      <c r="E35" s="8">
        <v>7.646E-2</v>
      </c>
      <c r="F35" s="8">
        <v>0.13092999999999999</v>
      </c>
      <c r="G35" s="8">
        <v>5.4711000000000003E-2</v>
      </c>
      <c r="H35" s="9" t="s">
        <v>20</v>
      </c>
      <c r="I35" s="9" t="s">
        <v>20</v>
      </c>
      <c r="J35" s="9" t="s">
        <v>20</v>
      </c>
      <c r="K35" s="9" t="s">
        <v>20</v>
      </c>
      <c r="L35" s="9" t="s">
        <v>20</v>
      </c>
      <c r="M35" s="9" t="s">
        <v>20</v>
      </c>
    </row>
    <row r="36" spans="1:13" x14ac:dyDescent="0.25">
      <c r="A36" s="9" t="s">
        <v>3</v>
      </c>
      <c r="B36" s="8">
        <v>7.1344000000000005E-2</v>
      </c>
      <c r="C36" s="8">
        <v>7.2327000000000002E-2</v>
      </c>
      <c r="D36" s="8">
        <v>7.8007999999999994E-2</v>
      </c>
      <c r="E36" s="8">
        <v>6.3925999999999997E-2</v>
      </c>
      <c r="F36" s="8">
        <v>6.3996999999999998E-2</v>
      </c>
      <c r="G36" s="9" t="s">
        <v>20</v>
      </c>
      <c r="H36" s="9" t="s">
        <v>20</v>
      </c>
      <c r="I36" s="9" t="s">
        <v>20</v>
      </c>
      <c r="J36" s="9" t="s">
        <v>20</v>
      </c>
      <c r="K36" s="9" t="s">
        <v>20</v>
      </c>
      <c r="L36" s="9" t="s">
        <v>20</v>
      </c>
      <c r="M36" s="9" t="s">
        <v>20</v>
      </c>
    </row>
    <row r="37" spans="1:13" x14ac:dyDescent="0.25">
      <c r="A37" s="9" t="s">
        <v>4</v>
      </c>
      <c r="B37" s="8">
        <v>9.5699000000000006E-2</v>
      </c>
      <c r="C37" s="8">
        <v>6.4515000000000003E-2</v>
      </c>
      <c r="D37" s="8">
        <v>6.6367999999999996E-2</v>
      </c>
      <c r="E37" s="8">
        <v>0.11681</v>
      </c>
      <c r="F37" s="8">
        <v>7.5106999999999993E-2</v>
      </c>
      <c r="G37" s="9" t="s">
        <v>20</v>
      </c>
      <c r="H37" s="9" t="s">
        <v>20</v>
      </c>
      <c r="I37" s="9" t="s">
        <v>20</v>
      </c>
      <c r="J37" s="9" t="s">
        <v>20</v>
      </c>
      <c r="K37" s="9" t="s">
        <v>20</v>
      </c>
      <c r="L37" s="9" t="s">
        <v>20</v>
      </c>
      <c r="M37" s="9" t="s">
        <v>20</v>
      </c>
    </row>
    <row r="38" spans="1:13" x14ac:dyDescent="0.25">
      <c r="A38" s="9" t="s">
        <v>5</v>
      </c>
      <c r="B38" s="8">
        <v>5.6096E-2</v>
      </c>
      <c r="C38" s="8">
        <v>6.5009999999999998E-2</v>
      </c>
      <c r="D38" s="8">
        <v>8.8691000000000006E-2</v>
      </c>
      <c r="E38" s="8">
        <v>6.5203999999999998E-2</v>
      </c>
      <c r="F38" s="8">
        <v>5.6899999999999999E-2</v>
      </c>
      <c r="G38" s="9" t="s">
        <v>20</v>
      </c>
      <c r="H38" s="9" t="s">
        <v>20</v>
      </c>
      <c r="I38" s="9" t="s">
        <v>20</v>
      </c>
      <c r="J38" s="9" t="s">
        <v>20</v>
      </c>
      <c r="K38" s="9" t="s">
        <v>20</v>
      </c>
      <c r="L38" s="9" t="s">
        <v>20</v>
      </c>
      <c r="M38" s="9" t="s">
        <v>20</v>
      </c>
    </row>
    <row r="39" spans="1:13" x14ac:dyDescent="0.25">
      <c r="A39" s="9" t="s">
        <v>6</v>
      </c>
      <c r="B39" s="8">
        <v>5.7853000000000002E-2</v>
      </c>
      <c r="C39" s="8">
        <v>0.35361999999999999</v>
      </c>
      <c r="D39" s="8">
        <v>6.7371E-2</v>
      </c>
      <c r="E39" s="8">
        <v>5.7282E-2</v>
      </c>
      <c r="F39" s="8">
        <v>5.7451000000000002E-2</v>
      </c>
      <c r="G39" s="9" t="s">
        <v>20</v>
      </c>
      <c r="H39" s="9" t="s">
        <v>20</v>
      </c>
      <c r="I39" s="9" t="s">
        <v>20</v>
      </c>
      <c r="J39" s="9" t="s">
        <v>20</v>
      </c>
      <c r="K39" s="9" t="s">
        <v>20</v>
      </c>
      <c r="L39" s="9" t="s">
        <v>20</v>
      </c>
      <c r="M39" s="9" t="s">
        <v>20</v>
      </c>
    </row>
    <row r="40" spans="1:13" x14ac:dyDescent="0.25">
      <c r="A40" s="9" t="s">
        <v>7</v>
      </c>
      <c r="B40" s="8">
        <v>6.7710000000000006E-2</v>
      </c>
      <c r="C40" s="8">
        <v>0.10236000000000001</v>
      </c>
      <c r="D40" s="8">
        <v>6.7265000000000005E-2</v>
      </c>
      <c r="E40" s="8">
        <v>9.1649999999999995E-2</v>
      </c>
      <c r="F40" s="8">
        <v>6.5597000000000003E-2</v>
      </c>
      <c r="G40" s="8">
        <v>0.10323</v>
      </c>
      <c r="H40" s="9" t="s">
        <v>20</v>
      </c>
      <c r="I40" s="9" t="s">
        <v>20</v>
      </c>
      <c r="J40" s="9" t="s">
        <v>20</v>
      </c>
      <c r="K40" s="9" t="s">
        <v>20</v>
      </c>
      <c r="L40" s="9" t="s">
        <v>20</v>
      </c>
      <c r="M40" s="9" t="s">
        <v>20</v>
      </c>
    </row>
    <row r="41" spans="1:13" x14ac:dyDescent="0.25">
      <c r="A41" s="9" t="s">
        <v>8</v>
      </c>
      <c r="B41" s="8">
        <v>7.0982000000000003E-2</v>
      </c>
      <c r="C41" s="8">
        <v>7.9475000000000004E-2</v>
      </c>
      <c r="D41" s="8">
        <v>6.7200999999999997E-2</v>
      </c>
      <c r="E41" s="8">
        <v>5.8754000000000001E-2</v>
      </c>
      <c r="F41" s="8">
        <v>7.2031999999999999E-2</v>
      </c>
      <c r="G41" s="9" t="s">
        <v>20</v>
      </c>
      <c r="H41" s="9" t="s">
        <v>20</v>
      </c>
      <c r="I41" s="9" t="s">
        <v>20</v>
      </c>
      <c r="J41" s="9" t="s">
        <v>20</v>
      </c>
      <c r="K41" s="9" t="s">
        <v>20</v>
      </c>
      <c r="L41" s="9" t="s">
        <v>20</v>
      </c>
      <c r="M41" s="9" t="s">
        <v>20</v>
      </c>
    </row>
    <row r="42" spans="1:13" x14ac:dyDescent="0.25">
      <c r="A42" s="9" t="s">
        <v>9</v>
      </c>
      <c r="B42" s="8">
        <v>7.8435000000000005E-2</v>
      </c>
      <c r="C42" s="8">
        <v>7.3201000000000002E-2</v>
      </c>
      <c r="D42" s="8">
        <v>5.9707999999999997E-2</v>
      </c>
      <c r="E42" s="8">
        <v>7.1638999999999994E-2</v>
      </c>
      <c r="F42" s="8">
        <v>8.8235999999999995E-2</v>
      </c>
      <c r="G42" s="8">
        <v>2.3572000000000002</v>
      </c>
      <c r="H42" s="9" t="s">
        <v>20</v>
      </c>
      <c r="I42" s="9" t="s">
        <v>20</v>
      </c>
      <c r="J42" s="9" t="s">
        <v>20</v>
      </c>
      <c r="K42" s="9" t="s">
        <v>20</v>
      </c>
      <c r="L42" s="9" t="s">
        <v>20</v>
      </c>
      <c r="M42" s="9" t="s">
        <v>20</v>
      </c>
    </row>
    <row r="43" spans="1:13" x14ac:dyDescent="0.25">
      <c r="A43" s="9" t="s">
        <v>70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25">
      <c r="A44" s="9" t="s">
        <v>1</v>
      </c>
      <c r="B44" s="8">
        <v>1</v>
      </c>
      <c r="C44" s="8">
        <v>2</v>
      </c>
      <c r="D44" s="8">
        <v>3</v>
      </c>
      <c r="E44" s="8">
        <v>4</v>
      </c>
      <c r="F44" s="8">
        <v>5</v>
      </c>
      <c r="G44" s="8">
        <v>6</v>
      </c>
      <c r="H44" s="8">
        <v>7</v>
      </c>
      <c r="I44" s="8">
        <v>8</v>
      </c>
      <c r="J44" s="8">
        <v>9</v>
      </c>
      <c r="K44" s="8">
        <v>10</v>
      </c>
      <c r="L44" s="8">
        <v>11</v>
      </c>
      <c r="M44" s="8">
        <v>12</v>
      </c>
    </row>
    <row r="45" spans="1:13" x14ac:dyDescent="0.25">
      <c r="A45" s="9" t="s">
        <v>2</v>
      </c>
      <c r="B45" s="8">
        <v>8.9526999999999995E-2</v>
      </c>
      <c r="C45" s="8">
        <v>0.11292000000000001</v>
      </c>
      <c r="D45" s="8">
        <v>0.10312</v>
      </c>
      <c r="E45" s="8">
        <v>0.10224999999999999</v>
      </c>
      <c r="F45" s="8">
        <v>0.19674</v>
      </c>
      <c r="G45" s="8">
        <v>5.7090000000000002E-2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</row>
    <row r="46" spans="1:13" x14ac:dyDescent="0.25">
      <c r="A46" s="9" t="s">
        <v>3</v>
      </c>
      <c r="B46" s="8">
        <v>8.5733000000000004E-2</v>
      </c>
      <c r="C46" s="8">
        <v>8.3546999999999996E-2</v>
      </c>
      <c r="D46" s="8">
        <v>9.2016000000000001E-2</v>
      </c>
      <c r="E46" s="8">
        <v>7.3270000000000002E-2</v>
      </c>
      <c r="F46" s="8">
        <v>7.0120000000000002E-2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</row>
    <row r="47" spans="1:13" x14ac:dyDescent="0.25">
      <c r="A47" s="9" t="s">
        <v>4</v>
      </c>
      <c r="B47" s="8">
        <v>0.13344</v>
      </c>
      <c r="C47" s="8">
        <v>7.7478000000000005E-2</v>
      </c>
      <c r="D47" s="8">
        <v>8.0575999999999995E-2</v>
      </c>
      <c r="E47" s="8">
        <v>0.18017</v>
      </c>
      <c r="F47" s="8">
        <v>9.6184000000000006E-2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</row>
    <row r="48" spans="1:13" x14ac:dyDescent="0.25">
      <c r="A48" s="9" t="s">
        <v>5</v>
      </c>
      <c r="B48" s="8">
        <v>6.6095000000000001E-2</v>
      </c>
      <c r="C48" s="8">
        <v>7.5935000000000002E-2</v>
      </c>
      <c r="D48" s="8">
        <v>0.11233</v>
      </c>
      <c r="E48" s="8">
        <v>7.5311000000000003E-2</v>
      </c>
      <c r="F48" s="8">
        <v>6.4584000000000003E-2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</row>
    <row r="49" spans="1:13" x14ac:dyDescent="0.25">
      <c r="A49" s="9" t="s">
        <v>6</v>
      </c>
      <c r="B49" s="8">
        <v>6.7329E-2</v>
      </c>
      <c r="C49" s="8">
        <v>0.63195000000000001</v>
      </c>
      <c r="D49" s="8">
        <v>8.6069999999999994E-2</v>
      </c>
      <c r="E49" s="8">
        <v>6.6843E-2</v>
      </c>
      <c r="F49" s="8">
        <v>6.3392000000000004E-2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</row>
    <row r="50" spans="1:13" x14ac:dyDescent="0.25">
      <c r="A50" s="9" t="s">
        <v>7</v>
      </c>
      <c r="B50" s="8">
        <v>7.7862000000000001E-2</v>
      </c>
      <c r="C50" s="8">
        <v>0.14937</v>
      </c>
      <c r="D50" s="8">
        <v>8.2611000000000004E-2</v>
      </c>
      <c r="E50" s="8">
        <v>0.14143</v>
      </c>
      <c r="F50" s="8">
        <v>7.9432000000000003E-2</v>
      </c>
      <c r="G50" s="8">
        <v>0.15373999999999999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</row>
    <row r="51" spans="1:13" x14ac:dyDescent="0.25">
      <c r="A51" s="9" t="s">
        <v>8</v>
      </c>
      <c r="B51" s="8">
        <v>8.8252999999999998E-2</v>
      </c>
      <c r="C51" s="8">
        <v>0.10304000000000001</v>
      </c>
      <c r="D51" s="8">
        <v>7.6262999999999997E-2</v>
      </c>
      <c r="E51" s="8">
        <v>6.7808999999999994E-2</v>
      </c>
      <c r="F51" s="8">
        <v>9.0579000000000007E-2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</row>
    <row r="52" spans="1:13" x14ac:dyDescent="0.25">
      <c r="A52" s="9" t="s">
        <v>9</v>
      </c>
      <c r="B52" s="8">
        <v>9.9680000000000005E-2</v>
      </c>
      <c r="C52" s="8">
        <v>9.1430999999999998E-2</v>
      </c>
      <c r="D52" s="8">
        <v>6.0995000000000001E-2</v>
      </c>
      <c r="E52" s="8">
        <v>8.5113999999999995E-2</v>
      </c>
      <c r="F52" s="8">
        <v>0.12012</v>
      </c>
      <c r="G52" s="8">
        <v>3.2978999999999998</v>
      </c>
      <c r="H52" s="9" t="s">
        <v>20</v>
      </c>
      <c r="I52" s="9" t="s">
        <v>20</v>
      </c>
      <c r="J52" s="9" t="s">
        <v>20</v>
      </c>
      <c r="K52" s="9" t="s">
        <v>20</v>
      </c>
      <c r="L52" s="9" t="s">
        <v>20</v>
      </c>
      <c r="M52" s="9" t="s">
        <v>20</v>
      </c>
    </row>
    <row r="53" spans="1:13" x14ac:dyDescent="0.25">
      <c r="A53" s="9" t="s">
        <v>71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25">
      <c r="A54" s="9" t="s">
        <v>1</v>
      </c>
      <c r="B54" s="8">
        <v>1</v>
      </c>
      <c r="C54" s="8">
        <v>2</v>
      </c>
      <c r="D54" s="8">
        <v>3</v>
      </c>
      <c r="E54" s="8">
        <v>4</v>
      </c>
      <c r="F54" s="8">
        <v>5</v>
      </c>
      <c r="G54" s="8">
        <v>6</v>
      </c>
      <c r="H54" s="8">
        <v>7</v>
      </c>
      <c r="I54" s="8">
        <v>8</v>
      </c>
      <c r="J54" s="8">
        <v>9</v>
      </c>
      <c r="K54" s="8">
        <v>10</v>
      </c>
      <c r="L54" s="8">
        <v>11</v>
      </c>
      <c r="M54" s="8">
        <v>12</v>
      </c>
    </row>
    <row r="55" spans="1:13" x14ac:dyDescent="0.25">
      <c r="A55" s="9" t="s">
        <v>2</v>
      </c>
      <c r="B55" s="8">
        <v>0.11942</v>
      </c>
      <c r="C55" s="8">
        <v>0.15906999999999999</v>
      </c>
      <c r="D55" s="8">
        <v>0.14015</v>
      </c>
      <c r="E55" s="8">
        <v>0.14191000000000001</v>
      </c>
      <c r="F55" s="8">
        <v>0.28442000000000001</v>
      </c>
      <c r="G55" s="8">
        <v>6.5101000000000006E-2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</row>
    <row r="56" spans="1:13" x14ac:dyDescent="0.25">
      <c r="A56" s="9" t="s">
        <v>3</v>
      </c>
      <c r="B56" s="8">
        <v>0.10484</v>
      </c>
      <c r="C56" s="8">
        <v>0.1032</v>
      </c>
      <c r="D56" s="8">
        <v>0.11699</v>
      </c>
      <c r="E56" s="8">
        <v>9.5197000000000004E-2</v>
      </c>
      <c r="F56" s="8">
        <v>9.1114000000000001E-2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</row>
    <row r="57" spans="1:13" x14ac:dyDescent="0.25">
      <c r="A57" s="9" t="s">
        <v>4</v>
      </c>
      <c r="B57" s="8">
        <v>0.17892</v>
      </c>
      <c r="C57" s="8">
        <v>0.10373</v>
      </c>
      <c r="D57" s="8">
        <v>0.10602</v>
      </c>
      <c r="E57" s="8">
        <v>0.26019999999999999</v>
      </c>
      <c r="F57" s="8">
        <v>0.12786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</row>
    <row r="58" spans="1:13" x14ac:dyDescent="0.25">
      <c r="A58" s="9" t="s">
        <v>5</v>
      </c>
      <c r="B58" s="8">
        <v>8.8762999999999995E-2</v>
      </c>
      <c r="C58" s="8">
        <v>9.5815999999999998E-2</v>
      </c>
      <c r="D58" s="8">
        <v>0.17412</v>
      </c>
      <c r="E58" s="8">
        <v>9.3312999999999993E-2</v>
      </c>
      <c r="F58" s="8">
        <v>8.2191E-2</v>
      </c>
      <c r="G58" s="9" t="s">
        <v>20</v>
      </c>
      <c r="H58" s="9" t="s">
        <v>20</v>
      </c>
      <c r="I58" s="9" t="s">
        <v>20</v>
      </c>
      <c r="J58" s="9" t="s">
        <v>20</v>
      </c>
      <c r="K58" s="9" t="s">
        <v>20</v>
      </c>
      <c r="L58" s="9" t="s">
        <v>20</v>
      </c>
      <c r="M58" s="9" t="s">
        <v>20</v>
      </c>
    </row>
    <row r="59" spans="1:13" x14ac:dyDescent="0.25">
      <c r="A59" s="9" t="s">
        <v>6</v>
      </c>
      <c r="B59" s="8">
        <v>8.6790000000000006E-2</v>
      </c>
      <c r="C59" s="8">
        <v>0.94162999999999997</v>
      </c>
      <c r="D59" s="8">
        <v>0.12125</v>
      </c>
      <c r="E59" s="8">
        <v>9.8923999999999998E-2</v>
      </c>
      <c r="F59" s="8">
        <v>7.1615999999999999E-2</v>
      </c>
      <c r="G59" s="9" t="s">
        <v>20</v>
      </c>
      <c r="H59" s="9" t="s">
        <v>20</v>
      </c>
      <c r="I59" s="9" t="s">
        <v>20</v>
      </c>
      <c r="J59" s="9" t="s">
        <v>20</v>
      </c>
      <c r="K59" s="9" t="s">
        <v>20</v>
      </c>
      <c r="L59" s="9" t="s">
        <v>20</v>
      </c>
      <c r="M59" s="9" t="s">
        <v>20</v>
      </c>
    </row>
    <row r="60" spans="1:13" x14ac:dyDescent="0.25">
      <c r="A60" s="9" t="s">
        <v>7</v>
      </c>
      <c r="B60" s="8">
        <v>9.5503000000000005E-2</v>
      </c>
      <c r="C60" s="8">
        <v>0.22094</v>
      </c>
      <c r="D60" s="8">
        <v>0.11277</v>
      </c>
      <c r="E60" s="8">
        <v>0.20745</v>
      </c>
      <c r="F60" s="8">
        <v>0.11736000000000001</v>
      </c>
      <c r="G60" s="8">
        <v>0.22495999999999999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</row>
    <row r="61" spans="1:13" x14ac:dyDescent="0.25">
      <c r="A61" s="9" t="s">
        <v>8</v>
      </c>
      <c r="B61" s="8">
        <v>0.106</v>
      </c>
      <c r="C61" s="8">
        <v>0.13289999999999999</v>
      </c>
      <c r="D61" s="8">
        <v>8.8777999999999996E-2</v>
      </c>
      <c r="E61" s="8">
        <v>8.3929000000000004E-2</v>
      </c>
      <c r="F61" s="8">
        <v>0.11433</v>
      </c>
      <c r="G61" s="9" t="s">
        <v>20</v>
      </c>
      <c r="H61" s="9" t="s">
        <v>20</v>
      </c>
      <c r="I61" s="9" t="s">
        <v>20</v>
      </c>
      <c r="J61" s="9" t="s">
        <v>20</v>
      </c>
      <c r="K61" s="9" t="s">
        <v>20</v>
      </c>
      <c r="L61" s="9" t="s">
        <v>20</v>
      </c>
      <c r="M61" s="9" t="s">
        <v>20</v>
      </c>
    </row>
    <row r="62" spans="1:13" x14ac:dyDescent="0.25">
      <c r="A62" s="9" t="s">
        <v>9</v>
      </c>
      <c r="B62" s="8">
        <v>0.12388</v>
      </c>
      <c r="C62" s="8">
        <v>0.11753</v>
      </c>
      <c r="D62" s="8">
        <v>6.2364999999999997E-2</v>
      </c>
      <c r="E62" s="8">
        <v>0.10208</v>
      </c>
      <c r="F62" s="8">
        <v>0.15679999999999999</v>
      </c>
      <c r="G62" s="8">
        <v>3.4483999999999999</v>
      </c>
      <c r="H62" s="9" t="s">
        <v>20</v>
      </c>
      <c r="I62" s="9" t="s">
        <v>20</v>
      </c>
      <c r="J62" s="9" t="s">
        <v>20</v>
      </c>
      <c r="K62" s="9" t="s">
        <v>20</v>
      </c>
      <c r="L62" s="9" t="s">
        <v>20</v>
      </c>
      <c r="M62" s="9" t="s">
        <v>20</v>
      </c>
    </row>
    <row r="63" spans="1:13" x14ac:dyDescent="0.25">
      <c r="A63" s="9" t="s">
        <v>72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25">
      <c r="A64" s="9" t="s">
        <v>21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" x14ac:dyDescent="0.25">
      <c r="A65" s="9" t="s">
        <v>22</v>
      </c>
    </row>
    <row r="66" spans="1:1" x14ac:dyDescent="0.25">
      <c r="A66" s="9" t="s">
        <v>73</v>
      </c>
    </row>
    <row r="67" spans="1:1" x14ac:dyDescent="0.25">
      <c r="A67" s="9" t="s">
        <v>74</v>
      </c>
    </row>
    <row r="68" spans="1:1" x14ac:dyDescent="0.25">
      <c r="A68" s="9" t="s">
        <v>23</v>
      </c>
    </row>
    <row r="69" spans="1:1" x14ac:dyDescent="0.25">
      <c r="A69" s="9" t="s">
        <v>24</v>
      </c>
    </row>
    <row r="70" spans="1:1" x14ac:dyDescent="0.25">
      <c r="A70" s="9" t="s">
        <v>25</v>
      </c>
    </row>
    <row r="72" spans="1:1" x14ac:dyDescent="0.25">
      <c r="A72" s="9" t="s">
        <v>26</v>
      </c>
    </row>
    <row r="73" spans="1:1" x14ac:dyDescent="0.25">
      <c r="A73" s="9" t="s">
        <v>27</v>
      </c>
    </row>
    <row r="74" spans="1:1" x14ac:dyDescent="0.25">
      <c r="A74" s="9" t="s">
        <v>28</v>
      </c>
    </row>
    <row r="75" spans="1:1" x14ac:dyDescent="0.25">
      <c r="A75" s="9" t="s">
        <v>29</v>
      </c>
    </row>
    <row r="76" spans="1:1" x14ac:dyDescent="0.25">
      <c r="A76" s="9" t="s">
        <v>30</v>
      </c>
    </row>
    <row r="77" spans="1:1" x14ac:dyDescent="0.25">
      <c r="A77" s="9" t="s">
        <v>31</v>
      </c>
    </row>
    <row r="78" spans="1:1" x14ac:dyDescent="0.25">
      <c r="A78" s="9" t="s">
        <v>32</v>
      </c>
    </row>
    <row r="79" spans="1:1" x14ac:dyDescent="0.25">
      <c r="A79" s="9" t="s">
        <v>33</v>
      </c>
    </row>
    <row r="80" spans="1:1" x14ac:dyDescent="0.25">
      <c r="A80" s="9" t="s">
        <v>34</v>
      </c>
    </row>
    <row r="81" spans="1:1" x14ac:dyDescent="0.25">
      <c r="A81" s="9" t="s">
        <v>35</v>
      </c>
    </row>
    <row r="82" spans="1:1" x14ac:dyDescent="0.25">
      <c r="A82" s="9" t="s">
        <v>36</v>
      </c>
    </row>
    <row r="83" spans="1:1" x14ac:dyDescent="0.25">
      <c r="A83" s="9" t="s">
        <v>37</v>
      </c>
    </row>
    <row r="84" spans="1:1" x14ac:dyDescent="0.25">
      <c r="A84" s="9" t="s">
        <v>38</v>
      </c>
    </row>
    <row r="85" spans="1:1" x14ac:dyDescent="0.25">
      <c r="A85" s="9" t="s">
        <v>39</v>
      </c>
    </row>
    <row r="86" spans="1:1" x14ac:dyDescent="0.25">
      <c r="A86" s="9" t="s">
        <v>75</v>
      </c>
    </row>
  </sheetData>
  <conditionalFormatting sqref="AD5">
    <cfRule type="cellIs" dxfId="119" priority="22" operator="between">
      <formula>2</formula>
      <formula>3</formula>
    </cfRule>
    <cfRule type="cellIs" dxfId="118" priority="23" operator="lessThan">
      <formula>2</formula>
    </cfRule>
    <cfRule type="cellIs" dxfId="117" priority="24" operator="greaterThan">
      <formula>3</formula>
    </cfRule>
  </conditionalFormatting>
  <conditionalFormatting sqref="AD9">
    <cfRule type="cellIs" dxfId="116" priority="20" operator="lessThan">
      <formula>10</formula>
    </cfRule>
    <cfRule type="cellIs" dxfId="115" priority="21" operator="greaterThan">
      <formula>10</formula>
    </cfRule>
  </conditionalFormatting>
  <conditionalFormatting sqref="P5:AA12">
    <cfRule type="cellIs" dxfId="114" priority="17" operator="between">
      <formula>$AD$8</formula>
      <formula>$AD$7</formula>
    </cfRule>
    <cfRule type="cellIs" dxfId="113" priority="18" operator="lessThan">
      <formula>$AD$8</formula>
    </cfRule>
    <cfRule type="cellIs" dxfId="112" priority="19" operator="greaterThan">
      <formula>$AD$7</formula>
    </cfRule>
  </conditionalFormatting>
  <conditionalFormatting sqref="AD15">
    <cfRule type="cellIs" dxfId="111" priority="14" operator="between">
      <formula>2</formula>
      <formula>3</formula>
    </cfRule>
    <cfRule type="cellIs" dxfId="110" priority="15" operator="lessThan">
      <formula>2</formula>
    </cfRule>
    <cfRule type="cellIs" dxfId="109" priority="16" operator="greaterThan">
      <formula>3</formula>
    </cfRule>
  </conditionalFormatting>
  <conditionalFormatting sqref="AD19">
    <cfRule type="cellIs" dxfId="108" priority="12" operator="lessThan">
      <formula>10</formula>
    </cfRule>
    <cfRule type="cellIs" dxfId="107" priority="13" operator="greaterThan">
      <formula>10</formula>
    </cfRule>
  </conditionalFormatting>
  <conditionalFormatting sqref="P15:AA22">
    <cfRule type="cellIs" dxfId="106" priority="9" operator="between">
      <formula>$AD$8</formula>
      <formula>$AD$7</formula>
    </cfRule>
    <cfRule type="cellIs" dxfId="105" priority="10" operator="lessThan">
      <formula>$AD$8</formula>
    </cfRule>
    <cfRule type="cellIs" dxfId="104" priority="11" operator="greaterThan">
      <formula>$AD$7</formula>
    </cfRule>
  </conditionalFormatting>
  <conditionalFormatting sqref="AD25">
    <cfRule type="cellIs" dxfId="103" priority="6" operator="between">
      <formula>2</formula>
      <formula>3</formula>
    </cfRule>
    <cfRule type="cellIs" dxfId="102" priority="7" operator="lessThan">
      <formula>2</formula>
    </cfRule>
    <cfRule type="cellIs" dxfId="101" priority="8" operator="greaterThan">
      <formula>3</formula>
    </cfRule>
  </conditionalFormatting>
  <conditionalFormatting sqref="AD29">
    <cfRule type="cellIs" dxfId="100" priority="4" operator="lessThan">
      <formula>10</formula>
    </cfRule>
    <cfRule type="cellIs" dxfId="99" priority="5" operator="greaterThan">
      <formula>10</formula>
    </cfRule>
  </conditionalFormatting>
  <conditionalFormatting sqref="P25:AA32">
    <cfRule type="cellIs" dxfId="98" priority="1" operator="between">
      <formula>$AD$8</formula>
      <formula>$AD$7</formula>
    </cfRule>
    <cfRule type="cellIs" dxfId="97" priority="2" operator="lessThan">
      <formula>$AD$8</formula>
    </cfRule>
    <cfRule type="cellIs" dxfId="96" priority="3" operator="greaterThan">
      <formula>$AD$7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"/>
  <sheetViews>
    <sheetView topLeftCell="C1" workbookViewId="0">
      <selection activeCell="O1" sqref="O1:O1048576"/>
    </sheetView>
  </sheetViews>
  <sheetFormatPr defaultRowHeight="15" x14ac:dyDescent="0.25"/>
  <cols>
    <col min="15" max="15" width="9.140625" style="8"/>
  </cols>
  <sheetData>
    <row r="1" spans="1:30" x14ac:dyDescent="0.25">
      <c r="A1" s="7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O1" s="9" t="s">
        <v>11</v>
      </c>
      <c r="R1" s="3" t="s">
        <v>12</v>
      </c>
      <c r="T1" s="4" t="s">
        <v>43</v>
      </c>
      <c r="V1" s="5" t="s">
        <v>13</v>
      </c>
    </row>
    <row r="2" spans="1:30" x14ac:dyDescent="0.25">
      <c r="A2" s="7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O2" s="9"/>
    </row>
    <row r="3" spans="1:30" x14ac:dyDescent="0.25">
      <c r="A3" s="7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O3" s="9" t="s">
        <v>76</v>
      </c>
    </row>
    <row r="4" spans="1:30" x14ac:dyDescent="0.25">
      <c r="A4" s="7" t="s">
        <v>1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O4" s="9" t="s">
        <v>1</v>
      </c>
      <c r="P4">
        <v>1</v>
      </c>
      <c r="Q4">
        <v>2</v>
      </c>
      <c r="R4">
        <v>3</v>
      </c>
      <c r="S4">
        <v>4</v>
      </c>
      <c r="T4">
        <v>5</v>
      </c>
      <c r="U4">
        <v>6</v>
      </c>
      <c r="V4">
        <v>7</v>
      </c>
      <c r="W4">
        <v>8</v>
      </c>
      <c r="X4">
        <v>9</v>
      </c>
      <c r="Y4">
        <v>10</v>
      </c>
      <c r="Z4">
        <v>11</v>
      </c>
      <c r="AA4">
        <v>12</v>
      </c>
      <c r="AC4" s="2" t="s">
        <v>40</v>
      </c>
    </row>
    <row r="5" spans="1:30" x14ac:dyDescent="0.25">
      <c r="A5" s="7" t="s">
        <v>2</v>
      </c>
      <c r="B5" s="6">
        <v>8.5250000000000006E-2</v>
      </c>
      <c r="C5" s="6">
        <v>9.4507999999999995E-2</v>
      </c>
      <c r="D5" s="6">
        <v>9.8501000000000005E-2</v>
      </c>
      <c r="E5" s="6">
        <v>7.6726000000000003E-2</v>
      </c>
      <c r="F5" s="6">
        <v>0.11867999999999999</v>
      </c>
      <c r="G5" s="6">
        <v>8.0171999999999993E-2</v>
      </c>
      <c r="H5" s="6">
        <v>8.3862000000000006E-2</v>
      </c>
      <c r="I5" s="6">
        <v>9.0959999999999999E-2</v>
      </c>
      <c r="J5" s="6">
        <v>9.4660999999999995E-2</v>
      </c>
      <c r="K5" s="6">
        <v>8.3571000000000006E-2</v>
      </c>
      <c r="L5" s="6">
        <v>9.6754000000000007E-2</v>
      </c>
      <c r="M5" s="6">
        <v>6.2853999999999993E-2</v>
      </c>
      <c r="O5" s="9" t="s">
        <v>2</v>
      </c>
      <c r="P5">
        <f>B5</f>
        <v>8.5250000000000006E-2</v>
      </c>
      <c r="Q5">
        <f t="shared" ref="Q5:AA12" si="0">C5</f>
        <v>9.4507999999999995E-2</v>
      </c>
      <c r="R5">
        <f t="shared" si="0"/>
        <v>9.8501000000000005E-2</v>
      </c>
      <c r="S5">
        <f t="shared" si="0"/>
        <v>7.6726000000000003E-2</v>
      </c>
      <c r="T5">
        <f t="shared" si="0"/>
        <v>0.11867999999999999</v>
      </c>
      <c r="U5">
        <f t="shared" si="0"/>
        <v>8.0171999999999993E-2</v>
      </c>
      <c r="V5">
        <f t="shared" si="0"/>
        <v>8.3862000000000006E-2</v>
      </c>
      <c r="W5">
        <f t="shared" si="0"/>
        <v>9.0959999999999999E-2</v>
      </c>
      <c r="X5">
        <f t="shared" si="0"/>
        <v>9.4660999999999995E-2</v>
      </c>
      <c r="Y5">
        <f t="shared" si="0"/>
        <v>8.3571000000000006E-2</v>
      </c>
      <c r="Z5">
        <f t="shared" si="0"/>
        <v>9.6754000000000007E-2</v>
      </c>
      <c r="AA5">
        <f t="shared" si="0"/>
        <v>6.2853999999999993E-2</v>
      </c>
      <c r="AC5" t="s">
        <v>12</v>
      </c>
      <c r="AD5">
        <f>AVERAGE(U11,U12,AA11,AA12)</f>
        <v>2.4108499999999999</v>
      </c>
    </row>
    <row r="6" spans="1:30" x14ac:dyDescent="0.25">
      <c r="A6" s="7" t="s">
        <v>3</v>
      </c>
      <c r="B6" s="6">
        <v>8.1618999999999997E-2</v>
      </c>
      <c r="C6" s="6">
        <v>7.8711000000000003E-2</v>
      </c>
      <c r="D6" s="6">
        <v>0.10595</v>
      </c>
      <c r="E6" s="6">
        <v>8.2546999999999995E-2</v>
      </c>
      <c r="F6" s="6">
        <v>8.8884000000000005E-2</v>
      </c>
      <c r="G6" s="6">
        <v>6.9892999999999997E-2</v>
      </c>
      <c r="H6" s="6">
        <v>7.7854000000000007E-2</v>
      </c>
      <c r="I6" s="6">
        <v>8.2442000000000001E-2</v>
      </c>
      <c r="J6" s="6">
        <v>8.7173E-2</v>
      </c>
      <c r="K6" s="6">
        <v>7.8220999999999999E-2</v>
      </c>
      <c r="L6" s="6">
        <v>7.5645000000000004E-2</v>
      </c>
      <c r="M6" s="6">
        <v>6.5722000000000003E-2</v>
      </c>
      <c r="O6" s="9" t="s">
        <v>3</v>
      </c>
      <c r="P6">
        <f t="shared" ref="P6:P12" si="1">B6</f>
        <v>8.1618999999999997E-2</v>
      </c>
      <c r="Q6">
        <f t="shared" si="0"/>
        <v>7.8711000000000003E-2</v>
      </c>
      <c r="R6">
        <f t="shared" si="0"/>
        <v>0.10595</v>
      </c>
      <c r="S6">
        <f t="shared" si="0"/>
        <v>8.2546999999999995E-2</v>
      </c>
      <c r="T6">
        <f t="shared" si="0"/>
        <v>8.8884000000000005E-2</v>
      </c>
      <c r="U6">
        <f t="shared" si="0"/>
        <v>6.9892999999999997E-2</v>
      </c>
      <c r="V6">
        <f t="shared" si="0"/>
        <v>7.7854000000000007E-2</v>
      </c>
      <c r="W6">
        <f t="shared" si="0"/>
        <v>8.2442000000000001E-2</v>
      </c>
      <c r="X6">
        <f t="shared" si="0"/>
        <v>8.7173E-2</v>
      </c>
      <c r="Y6">
        <f t="shared" si="0"/>
        <v>7.8220999999999999E-2</v>
      </c>
      <c r="Z6">
        <f t="shared" si="0"/>
        <v>7.5645000000000004E-2</v>
      </c>
      <c r="AA6">
        <f t="shared" si="0"/>
        <v>6.5722000000000003E-2</v>
      </c>
      <c r="AC6" t="s">
        <v>13</v>
      </c>
      <c r="AD6">
        <f>AVERAGE(U5,U6,U7,U8,U9,U10,AA5,AA6,AA7,AA8,AA9,AA10,)</f>
        <v>7.4062461538461535E-2</v>
      </c>
    </row>
    <row r="7" spans="1:30" x14ac:dyDescent="0.25">
      <c r="A7" s="7" t="s">
        <v>4</v>
      </c>
      <c r="B7" s="6">
        <v>0.10234</v>
      </c>
      <c r="C7" s="6">
        <v>7.7203999999999995E-2</v>
      </c>
      <c r="D7" s="6">
        <v>0.14541000000000001</v>
      </c>
      <c r="E7" s="6">
        <v>0.13012000000000001</v>
      </c>
      <c r="F7" s="6">
        <v>9.6662999999999999E-2</v>
      </c>
      <c r="G7" s="6">
        <v>6.5932000000000004E-2</v>
      </c>
      <c r="H7" s="6">
        <v>9.8102999999999996E-2</v>
      </c>
      <c r="I7" s="6">
        <v>7.7117000000000005E-2</v>
      </c>
      <c r="J7" s="6">
        <v>0.13627</v>
      </c>
      <c r="K7" s="6">
        <v>0.13014999999999999</v>
      </c>
      <c r="L7" s="6">
        <v>9.9069000000000004E-2</v>
      </c>
      <c r="M7" s="6">
        <v>7.1383000000000002E-2</v>
      </c>
      <c r="O7" s="9" t="s">
        <v>4</v>
      </c>
      <c r="P7">
        <f t="shared" si="1"/>
        <v>0.10234</v>
      </c>
      <c r="Q7">
        <f t="shared" si="0"/>
        <v>7.7203999999999995E-2</v>
      </c>
      <c r="R7">
        <f t="shared" si="0"/>
        <v>0.14541000000000001</v>
      </c>
      <c r="S7">
        <f t="shared" si="0"/>
        <v>0.13012000000000001</v>
      </c>
      <c r="T7">
        <f t="shared" si="0"/>
        <v>9.6662999999999999E-2</v>
      </c>
      <c r="U7">
        <f t="shared" si="0"/>
        <v>6.5932000000000004E-2</v>
      </c>
      <c r="V7">
        <f t="shared" si="0"/>
        <v>9.8102999999999996E-2</v>
      </c>
      <c r="W7">
        <f t="shared" si="0"/>
        <v>7.7117000000000005E-2</v>
      </c>
      <c r="X7">
        <f t="shared" si="0"/>
        <v>0.13627</v>
      </c>
      <c r="Y7">
        <f t="shared" si="0"/>
        <v>0.13014999999999999</v>
      </c>
      <c r="Z7">
        <f t="shared" si="0"/>
        <v>9.9069000000000004E-2</v>
      </c>
      <c r="AA7">
        <f t="shared" si="0"/>
        <v>7.1383000000000002E-2</v>
      </c>
      <c r="AC7" t="s">
        <v>14</v>
      </c>
      <c r="AD7">
        <f>AD6+(0.35*AD5)</f>
        <v>0.9178599615384615</v>
      </c>
    </row>
    <row r="8" spans="1:30" x14ac:dyDescent="0.25">
      <c r="A8" s="7" t="s">
        <v>5</v>
      </c>
      <c r="B8" s="6">
        <v>6.9539000000000004E-2</v>
      </c>
      <c r="C8" s="6">
        <v>7.8883999999999996E-2</v>
      </c>
      <c r="D8" s="6">
        <v>0.10471999999999999</v>
      </c>
      <c r="E8" s="6">
        <v>8.8061E-2</v>
      </c>
      <c r="F8" s="6">
        <v>8.3028000000000005E-2</v>
      </c>
      <c r="G8" s="6">
        <v>7.5121999999999994E-2</v>
      </c>
      <c r="H8" s="6">
        <v>7.5092000000000006E-2</v>
      </c>
      <c r="I8" s="6">
        <v>7.7576000000000006E-2</v>
      </c>
      <c r="J8" s="6">
        <v>0.10043000000000001</v>
      </c>
      <c r="K8" s="6">
        <v>9.9269999999999997E-2</v>
      </c>
      <c r="L8" s="6">
        <v>7.8194E-2</v>
      </c>
      <c r="M8" s="6">
        <v>7.2753999999999999E-2</v>
      </c>
      <c r="O8" s="9" t="s">
        <v>5</v>
      </c>
      <c r="P8">
        <f t="shared" si="1"/>
        <v>6.9539000000000004E-2</v>
      </c>
      <c r="Q8">
        <f t="shared" si="0"/>
        <v>7.8883999999999996E-2</v>
      </c>
      <c r="R8">
        <f t="shared" si="0"/>
        <v>0.10471999999999999</v>
      </c>
      <c r="S8">
        <f t="shared" si="0"/>
        <v>8.8061E-2</v>
      </c>
      <c r="T8">
        <f t="shared" si="0"/>
        <v>8.3028000000000005E-2</v>
      </c>
      <c r="U8">
        <f t="shared" si="0"/>
        <v>7.5121999999999994E-2</v>
      </c>
      <c r="V8">
        <f t="shared" si="0"/>
        <v>7.5092000000000006E-2</v>
      </c>
      <c r="W8">
        <f t="shared" si="0"/>
        <v>7.7576000000000006E-2</v>
      </c>
      <c r="X8">
        <f t="shared" si="0"/>
        <v>0.10043000000000001</v>
      </c>
      <c r="Y8">
        <f t="shared" si="0"/>
        <v>9.9269999999999997E-2</v>
      </c>
      <c r="Z8">
        <f t="shared" si="0"/>
        <v>7.8194E-2</v>
      </c>
      <c r="AA8">
        <f t="shared" si="0"/>
        <v>7.2753999999999999E-2</v>
      </c>
      <c r="AC8" t="s">
        <v>15</v>
      </c>
      <c r="AD8">
        <f>AD6+(0.25*AD5)</f>
        <v>0.67677496153846151</v>
      </c>
    </row>
    <row r="9" spans="1:30" x14ac:dyDescent="0.25">
      <c r="A9" s="7" t="s">
        <v>6</v>
      </c>
      <c r="B9" s="6">
        <v>8.1061999999999995E-2</v>
      </c>
      <c r="C9" s="6">
        <v>0.43084</v>
      </c>
      <c r="D9" s="6">
        <v>9.4531000000000004E-2</v>
      </c>
      <c r="E9" s="6">
        <v>7.3371000000000006E-2</v>
      </c>
      <c r="F9" s="6">
        <v>8.4822999999999996E-2</v>
      </c>
      <c r="G9" s="6">
        <v>6.4632999999999996E-2</v>
      </c>
      <c r="H9" s="6">
        <v>9.3424999999999994E-2</v>
      </c>
      <c r="I9" s="6">
        <v>0.37119999999999997</v>
      </c>
      <c r="J9" s="6">
        <v>0.10491</v>
      </c>
      <c r="K9" s="6">
        <v>7.4617000000000003E-2</v>
      </c>
      <c r="L9" s="6">
        <v>9.4028E-2</v>
      </c>
      <c r="M9" s="6">
        <v>9.4205999999999998E-2</v>
      </c>
      <c r="O9" s="9" t="s">
        <v>6</v>
      </c>
      <c r="P9">
        <f t="shared" si="1"/>
        <v>8.1061999999999995E-2</v>
      </c>
      <c r="Q9">
        <f t="shared" si="0"/>
        <v>0.43084</v>
      </c>
      <c r="R9">
        <f t="shared" si="0"/>
        <v>9.4531000000000004E-2</v>
      </c>
      <c r="S9">
        <f t="shared" si="0"/>
        <v>7.3371000000000006E-2</v>
      </c>
      <c r="T9">
        <f t="shared" si="0"/>
        <v>8.4822999999999996E-2</v>
      </c>
      <c r="U9">
        <f t="shared" si="0"/>
        <v>6.4632999999999996E-2</v>
      </c>
      <c r="V9">
        <f t="shared" si="0"/>
        <v>9.3424999999999994E-2</v>
      </c>
      <c r="W9">
        <f t="shared" si="0"/>
        <v>0.37119999999999997</v>
      </c>
      <c r="X9">
        <f t="shared" si="0"/>
        <v>0.10491</v>
      </c>
      <c r="Y9">
        <f t="shared" si="0"/>
        <v>7.4617000000000003E-2</v>
      </c>
      <c r="Z9">
        <f t="shared" si="0"/>
        <v>9.4028E-2</v>
      </c>
      <c r="AA9">
        <f t="shared" si="0"/>
        <v>9.4205999999999998E-2</v>
      </c>
      <c r="AC9" t="s">
        <v>16</v>
      </c>
      <c r="AD9">
        <f>AD5/AD6</f>
        <v>32.551578085856846</v>
      </c>
    </row>
    <row r="10" spans="1:30" x14ac:dyDescent="0.25">
      <c r="A10" s="7" t="s">
        <v>7</v>
      </c>
      <c r="B10" s="6">
        <v>6.0124999999999998E-2</v>
      </c>
      <c r="C10" s="6">
        <v>0.14971000000000001</v>
      </c>
      <c r="D10" s="6">
        <v>0.10316</v>
      </c>
      <c r="E10" s="6">
        <v>0.13611999999999999</v>
      </c>
      <c r="F10" s="6">
        <v>0.10038999999999999</v>
      </c>
      <c r="G10" s="6">
        <v>8.7780999999999998E-2</v>
      </c>
      <c r="H10" s="6">
        <v>7.9266000000000003E-2</v>
      </c>
      <c r="I10" s="6">
        <v>0.13091</v>
      </c>
      <c r="J10" s="6">
        <v>0.11608</v>
      </c>
      <c r="K10" s="6">
        <v>0.12753999999999999</v>
      </c>
      <c r="L10" s="6">
        <v>8.5231000000000001E-2</v>
      </c>
      <c r="M10" s="6">
        <v>0.15236</v>
      </c>
      <c r="O10" s="9" t="s">
        <v>7</v>
      </c>
      <c r="P10">
        <f t="shared" si="1"/>
        <v>6.0124999999999998E-2</v>
      </c>
      <c r="Q10">
        <f t="shared" si="0"/>
        <v>0.14971000000000001</v>
      </c>
      <c r="R10">
        <f t="shared" si="0"/>
        <v>0.10316</v>
      </c>
      <c r="S10">
        <f t="shared" si="0"/>
        <v>0.13611999999999999</v>
      </c>
      <c r="T10">
        <f t="shared" si="0"/>
        <v>0.10038999999999999</v>
      </c>
      <c r="U10">
        <f t="shared" si="0"/>
        <v>8.7780999999999998E-2</v>
      </c>
      <c r="V10">
        <f t="shared" si="0"/>
        <v>7.9266000000000003E-2</v>
      </c>
      <c r="W10">
        <f t="shared" si="0"/>
        <v>0.13091</v>
      </c>
      <c r="X10">
        <f t="shared" si="0"/>
        <v>0.11608</v>
      </c>
      <c r="Y10">
        <f t="shared" si="0"/>
        <v>0.12753999999999999</v>
      </c>
      <c r="Z10">
        <f t="shared" si="0"/>
        <v>8.5231000000000001E-2</v>
      </c>
      <c r="AA10">
        <f t="shared" si="0"/>
        <v>0.15236</v>
      </c>
    </row>
    <row r="11" spans="1:30" x14ac:dyDescent="0.25">
      <c r="A11" s="7" t="s">
        <v>8</v>
      </c>
      <c r="B11" s="6">
        <v>8.6421999999999999E-2</v>
      </c>
      <c r="C11" s="6">
        <v>0.11439000000000001</v>
      </c>
      <c r="D11" s="6">
        <v>8.4488999999999995E-2</v>
      </c>
      <c r="E11" s="6">
        <v>9.1083999999999998E-2</v>
      </c>
      <c r="F11" s="6">
        <v>0.11565</v>
      </c>
      <c r="G11" s="6">
        <v>2.1215999999999999</v>
      </c>
      <c r="H11" s="6">
        <v>9.1545000000000001E-2</v>
      </c>
      <c r="I11" s="6">
        <v>0.11853</v>
      </c>
      <c r="J11" s="6">
        <v>7.782E-2</v>
      </c>
      <c r="K11" s="6">
        <v>8.2519999999999996E-2</v>
      </c>
      <c r="L11" s="6">
        <v>0.13059000000000001</v>
      </c>
      <c r="M11" s="6">
        <v>2.7014</v>
      </c>
      <c r="O11" s="9" t="s">
        <v>8</v>
      </c>
      <c r="P11">
        <f t="shared" si="1"/>
        <v>8.6421999999999999E-2</v>
      </c>
      <c r="Q11">
        <f t="shared" si="0"/>
        <v>0.11439000000000001</v>
      </c>
      <c r="R11">
        <f t="shared" si="0"/>
        <v>8.4488999999999995E-2</v>
      </c>
      <c r="S11">
        <f t="shared" si="0"/>
        <v>9.1083999999999998E-2</v>
      </c>
      <c r="T11">
        <f t="shared" si="0"/>
        <v>0.11565</v>
      </c>
      <c r="U11">
        <f t="shared" si="0"/>
        <v>2.1215999999999999</v>
      </c>
      <c r="V11">
        <f t="shared" si="0"/>
        <v>9.1545000000000001E-2</v>
      </c>
      <c r="W11">
        <f t="shared" si="0"/>
        <v>0.11853</v>
      </c>
      <c r="X11">
        <f t="shared" si="0"/>
        <v>7.782E-2</v>
      </c>
      <c r="Y11">
        <f t="shared" si="0"/>
        <v>8.2519999999999996E-2</v>
      </c>
      <c r="Z11">
        <f t="shared" si="0"/>
        <v>0.13059000000000001</v>
      </c>
      <c r="AA11">
        <f t="shared" si="0"/>
        <v>2.7014</v>
      </c>
      <c r="AC11" t="s">
        <v>17</v>
      </c>
      <c r="AD11" t="str">
        <f>IF((AND(AD5&gt;2,AD5&lt;3,AD9&gt;10)),"PASS","FAIL")</f>
        <v>PASS</v>
      </c>
    </row>
    <row r="12" spans="1:30" x14ac:dyDescent="0.25">
      <c r="A12" s="7" t="s">
        <v>9</v>
      </c>
      <c r="B12" s="6">
        <v>8.2443000000000002E-2</v>
      </c>
      <c r="C12" s="6">
        <v>9.5593999999999998E-2</v>
      </c>
      <c r="D12" s="6">
        <v>0.10569000000000001</v>
      </c>
      <c r="E12" s="6">
        <v>0.10569000000000001</v>
      </c>
      <c r="F12" s="6">
        <v>0.14652999999999999</v>
      </c>
      <c r="G12" s="6">
        <v>2.1480999999999999</v>
      </c>
      <c r="H12" s="6">
        <v>8.8969000000000006E-2</v>
      </c>
      <c r="I12" s="6">
        <v>0.14751</v>
      </c>
      <c r="J12" s="6">
        <v>9.2899999999999996E-2</v>
      </c>
      <c r="K12" s="6">
        <v>0.12870999999999999</v>
      </c>
      <c r="L12" s="6">
        <v>0.14685000000000001</v>
      </c>
      <c r="M12" s="6">
        <v>2.6722999999999999</v>
      </c>
      <c r="O12" s="9" t="s">
        <v>9</v>
      </c>
      <c r="P12">
        <f t="shared" si="1"/>
        <v>8.2443000000000002E-2</v>
      </c>
      <c r="Q12">
        <f t="shared" si="0"/>
        <v>9.5593999999999998E-2</v>
      </c>
      <c r="R12">
        <f t="shared" si="0"/>
        <v>0.10569000000000001</v>
      </c>
      <c r="S12">
        <f t="shared" si="0"/>
        <v>0.10569000000000001</v>
      </c>
      <c r="T12">
        <f t="shared" si="0"/>
        <v>0.14652999999999999</v>
      </c>
      <c r="U12">
        <f t="shared" si="0"/>
        <v>2.1480999999999999</v>
      </c>
      <c r="V12">
        <f t="shared" si="0"/>
        <v>8.8969000000000006E-2</v>
      </c>
      <c r="W12">
        <f t="shared" si="0"/>
        <v>0.14751</v>
      </c>
      <c r="X12">
        <f t="shared" si="0"/>
        <v>9.2899999999999996E-2</v>
      </c>
      <c r="Y12">
        <f t="shared" si="0"/>
        <v>0.12870999999999999</v>
      </c>
      <c r="Z12">
        <f t="shared" si="0"/>
        <v>0.14685000000000001</v>
      </c>
      <c r="AA12">
        <f t="shared" si="0"/>
        <v>2.6722999999999999</v>
      </c>
    </row>
    <row r="13" spans="1:30" x14ac:dyDescent="0.25">
      <c r="A13" s="7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O13" s="9" t="s">
        <v>77</v>
      </c>
    </row>
    <row r="14" spans="1:30" x14ac:dyDescent="0.25">
      <c r="A14" s="7" t="s">
        <v>1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6">
        <v>11</v>
      </c>
      <c r="M14" s="6">
        <v>12</v>
      </c>
      <c r="O14" s="9" t="s">
        <v>1</v>
      </c>
      <c r="P14">
        <v>1</v>
      </c>
      <c r="Q14">
        <v>2</v>
      </c>
      <c r="R14">
        <v>3</v>
      </c>
      <c r="S14">
        <v>4</v>
      </c>
      <c r="T14">
        <v>5</v>
      </c>
      <c r="U14">
        <v>6</v>
      </c>
      <c r="V14">
        <v>7</v>
      </c>
      <c r="W14">
        <v>8</v>
      </c>
      <c r="X14">
        <v>9</v>
      </c>
      <c r="Y14">
        <v>10</v>
      </c>
      <c r="Z14">
        <v>11</v>
      </c>
      <c r="AA14">
        <v>12</v>
      </c>
      <c r="AC14" s="2" t="s">
        <v>41</v>
      </c>
    </row>
    <row r="15" spans="1:30" x14ac:dyDescent="0.25">
      <c r="A15" s="7" t="s">
        <v>2</v>
      </c>
      <c r="B15" s="6">
        <v>0.11915000000000001</v>
      </c>
      <c r="C15" s="6">
        <v>0.14982000000000001</v>
      </c>
      <c r="D15" s="6">
        <v>0.14759</v>
      </c>
      <c r="E15" s="6">
        <v>9.8684999999999995E-2</v>
      </c>
      <c r="F15" s="6">
        <v>0.17191999999999999</v>
      </c>
      <c r="G15" s="6">
        <v>8.7436E-2</v>
      </c>
      <c r="H15" s="6">
        <v>0.10886</v>
      </c>
      <c r="I15" s="6">
        <v>0.13400000000000001</v>
      </c>
      <c r="J15" s="6">
        <v>0.13309000000000001</v>
      </c>
      <c r="K15" s="6">
        <v>0.10987</v>
      </c>
      <c r="L15" s="6">
        <v>0.14460999999999999</v>
      </c>
      <c r="M15" s="6">
        <v>6.6571000000000005E-2</v>
      </c>
      <c r="O15" s="9" t="s">
        <v>2</v>
      </c>
      <c r="P15">
        <f>B15</f>
        <v>0.11915000000000001</v>
      </c>
      <c r="Q15">
        <f t="shared" ref="Q15:AA22" si="2">C15</f>
        <v>0.14982000000000001</v>
      </c>
      <c r="R15">
        <f t="shared" si="2"/>
        <v>0.14759</v>
      </c>
      <c r="S15">
        <f t="shared" si="2"/>
        <v>9.8684999999999995E-2</v>
      </c>
      <c r="T15">
        <f t="shared" si="2"/>
        <v>0.17191999999999999</v>
      </c>
      <c r="U15">
        <f t="shared" si="2"/>
        <v>8.7436E-2</v>
      </c>
      <c r="V15">
        <f t="shared" si="2"/>
        <v>0.10886</v>
      </c>
      <c r="W15">
        <f t="shared" si="2"/>
        <v>0.13400000000000001</v>
      </c>
      <c r="X15">
        <f t="shared" si="2"/>
        <v>0.13309000000000001</v>
      </c>
      <c r="Y15">
        <f t="shared" si="2"/>
        <v>0.10987</v>
      </c>
      <c r="Z15">
        <f t="shared" si="2"/>
        <v>0.14460999999999999</v>
      </c>
      <c r="AA15">
        <f t="shared" si="2"/>
        <v>6.6571000000000005E-2</v>
      </c>
      <c r="AC15" t="s">
        <v>12</v>
      </c>
      <c r="AD15">
        <f>AVERAGE(U21,U22,AA21,AA22)</f>
        <v>3.2407000000000004</v>
      </c>
    </row>
    <row r="16" spans="1:30" x14ac:dyDescent="0.25">
      <c r="A16" s="7" t="s">
        <v>3</v>
      </c>
      <c r="B16" s="6">
        <v>0.11124000000000001</v>
      </c>
      <c r="C16" s="6">
        <v>0.1048</v>
      </c>
      <c r="D16" s="6">
        <v>0.14609</v>
      </c>
      <c r="E16" s="6">
        <v>0.11271</v>
      </c>
      <c r="F16" s="6">
        <v>0.10775999999999999</v>
      </c>
      <c r="G16" s="6">
        <v>8.3060999999999996E-2</v>
      </c>
      <c r="H16" s="6">
        <v>0.10252</v>
      </c>
      <c r="I16" s="6">
        <v>0.10650999999999999</v>
      </c>
      <c r="J16" s="6">
        <v>0.11229</v>
      </c>
      <c r="K16" s="6">
        <v>0.10108</v>
      </c>
      <c r="L16" s="6">
        <v>9.2220999999999997E-2</v>
      </c>
      <c r="M16" s="6">
        <v>7.6314999999999994E-2</v>
      </c>
      <c r="O16" s="9" t="s">
        <v>3</v>
      </c>
      <c r="P16">
        <f t="shared" ref="P16:P22" si="3">B16</f>
        <v>0.11124000000000001</v>
      </c>
      <c r="Q16">
        <f t="shared" si="2"/>
        <v>0.1048</v>
      </c>
      <c r="R16">
        <f t="shared" si="2"/>
        <v>0.14609</v>
      </c>
      <c r="S16">
        <f t="shared" si="2"/>
        <v>0.11271</v>
      </c>
      <c r="T16">
        <f t="shared" si="2"/>
        <v>0.10775999999999999</v>
      </c>
      <c r="U16">
        <f t="shared" si="2"/>
        <v>8.3060999999999996E-2</v>
      </c>
      <c r="V16">
        <f t="shared" si="2"/>
        <v>0.10252</v>
      </c>
      <c r="W16">
        <f t="shared" si="2"/>
        <v>0.10650999999999999</v>
      </c>
      <c r="X16">
        <f t="shared" si="2"/>
        <v>0.11229</v>
      </c>
      <c r="Y16">
        <f t="shared" si="2"/>
        <v>0.10108</v>
      </c>
      <c r="Z16">
        <f t="shared" si="2"/>
        <v>9.2220999999999997E-2</v>
      </c>
      <c r="AA16">
        <f t="shared" si="2"/>
        <v>7.6314999999999994E-2</v>
      </c>
      <c r="AC16" t="s">
        <v>13</v>
      </c>
      <c r="AD16">
        <f>AVERAGE(U15,U16,U17,U18,U19,U20,AA15,AA16,AA17,AA18,AA19,AA20,)</f>
        <v>8.1871692307692312E-2</v>
      </c>
    </row>
    <row r="17" spans="1:30" x14ac:dyDescent="0.25">
      <c r="A17" s="7" t="s">
        <v>4</v>
      </c>
      <c r="B17" s="6">
        <v>0.16558999999999999</v>
      </c>
      <c r="C17" s="6">
        <v>0.11447</v>
      </c>
      <c r="D17" s="6">
        <v>0.24796000000000001</v>
      </c>
      <c r="E17" s="6">
        <v>0.21925</v>
      </c>
      <c r="F17" s="6">
        <v>0.14781</v>
      </c>
      <c r="G17" s="6">
        <v>7.4071999999999999E-2</v>
      </c>
      <c r="H17" s="6">
        <v>0.14591000000000001</v>
      </c>
      <c r="I17" s="6">
        <v>0.10100000000000001</v>
      </c>
      <c r="J17" s="6">
        <v>0.22733999999999999</v>
      </c>
      <c r="K17" s="6">
        <v>0.22364999999999999</v>
      </c>
      <c r="L17" s="6">
        <v>0.15145</v>
      </c>
      <c r="M17" s="6">
        <v>7.7941999999999997E-2</v>
      </c>
      <c r="O17" s="9" t="s">
        <v>4</v>
      </c>
      <c r="P17">
        <f t="shared" si="3"/>
        <v>0.16558999999999999</v>
      </c>
      <c r="Q17">
        <f t="shared" si="2"/>
        <v>0.11447</v>
      </c>
      <c r="R17">
        <f t="shared" si="2"/>
        <v>0.24796000000000001</v>
      </c>
      <c r="S17">
        <f t="shared" si="2"/>
        <v>0.21925</v>
      </c>
      <c r="T17">
        <f t="shared" si="2"/>
        <v>0.14781</v>
      </c>
      <c r="U17">
        <f t="shared" si="2"/>
        <v>7.4071999999999999E-2</v>
      </c>
      <c r="V17">
        <f t="shared" si="2"/>
        <v>0.14591000000000001</v>
      </c>
      <c r="W17">
        <f t="shared" si="2"/>
        <v>0.10100000000000001</v>
      </c>
      <c r="X17">
        <f t="shared" si="2"/>
        <v>0.22733999999999999</v>
      </c>
      <c r="Y17">
        <f t="shared" si="2"/>
        <v>0.22364999999999999</v>
      </c>
      <c r="Z17">
        <f t="shared" si="2"/>
        <v>0.15145</v>
      </c>
      <c r="AA17">
        <f t="shared" si="2"/>
        <v>7.7941999999999997E-2</v>
      </c>
      <c r="AC17" t="s">
        <v>14</v>
      </c>
      <c r="AD17">
        <f>AD16+(0.35*AD15)</f>
        <v>1.2161166923076923</v>
      </c>
    </row>
    <row r="18" spans="1:30" x14ac:dyDescent="0.25">
      <c r="A18" s="7" t="s">
        <v>5</v>
      </c>
      <c r="B18" s="6">
        <v>0.12496</v>
      </c>
      <c r="C18" s="6">
        <v>0.12374</v>
      </c>
      <c r="D18" s="6">
        <v>0.15698000000000001</v>
      </c>
      <c r="E18" s="6">
        <v>0.12197</v>
      </c>
      <c r="F18" s="6">
        <v>0.10736999999999999</v>
      </c>
      <c r="G18" s="6">
        <v>8.7472999999999995E-2</v>
      </c>
      <c r="H18" s="6">
        <v>9.1347999999999999E-2</v>
      </c>
      <c r="I18" s="6">
        <v>0.10005</v>
      </c>
      <c r="J18" s="6">
        <v>0.15437000000000001</v>
      </c>
      <c r="K18" s="6">
        <v>0.1656</v>
      </c>
      <c r="L18" s="6">
        <v>0.10673000000000001</v>
      </c>
      <c r="M18" s="6">
        <v>8.8539999999999994E-2</v>
      </c>
      <c r="O18" s="9" t="s">
        <v>5</v>
      </c>
      <c r="P18">
        <f t="shared" si="3"/>
        <v>0.12496</v>
      </c>
      <c r="Q18">
        <f t="shared" si="2"/>
        <v>0.12374</v>
      </c>
      <c r="R18">
        <f t="shared" si="2"/>
        <v>0.15698000000000001</v>
      </c>
      <c r="S18">
        <f t="shared" si="2"/>
        <v>0.12197</v>
      </c>
      <c r="T18">
        <f t="shared" si="2"/>
        <v>0.10736999999999999</v>
      </c>
      <c r="U18">
        <f t="shared" si="2"/>
        <v>8.7472999999999995E-2</v>
      </c>
      <c r="V18">
        <f t="shared" si="2"/>
        <v>9.1347999999999999E-2</v>
      </c>
      <c r="W18">
        <f t="shared" si="2"/>
        <v>0.10005</v>
      </c>
      <c r="X18">
        <f t="shared" si="2"/>
        <v>0.15437000000000001</v>
      </c>
      <c r="Y18">
        <f t="shared" si="2"/>
        <v>0.1656</v>
      </c>
      <c r="Z18">
        <f t="shared" si="2"/>
        <v>0.10673000000000001</v>
      </c>
      <c r="AA18">
        <f t="shared" si="2"/>
        <v>8.8539999999999994E-2</v>
      </c>
      <c r="AC18" t="s">
        <v>15</v>
      </c>
      <c r="AD18">
        <f>AD16+(0.25*AD15)</f>
        <v>0.8920466923076924</v>
      </c>
    </row>
    <row r="19" spans="1:30" x14ac:dyDescent="0.25">
      <c r="A19" s="7" t="s">
        <v>6</v>
      </c>
      <c r="B19" s="6">
        <v>0.13805999999999999</v>
      </c>
      <c r="C19" s="6">
        <v>0.86682999999999999</v>
      </c>
      <c r="D19" s="6">
        <v>0.13988</v>
      </c>
      <c r="E19" s="6">
        <v>9.715E-2</v>
      </c>
      <c r="F19" s="6">
        <v>0.11257</v>
      </c>
      <c r="G19" s="6">
        <v>7.3263999999999996E-2</v>
      </c>
      <c r="H19" s="6">
        <v>0.11698</v>
      </c>
      <c r="I19" s="6">
        <v>0.72477999999999998</v>
      </c>
      <c r="J19" s="6">
        <v>0.14377000000000001</v>
      </c>
      <c r="K19" s="6">
        <v>9.7832000000000002E-2</v>
      </c>
      <c r="L19" s="6">
        <v>0.12870999999999999</v>
      </c>
      <c r="M19" s="6">
        <v>8.1477999999999995E-2</v>
      </c>
      <c r="O19" s="9" t="s">
        <v>6</v>
      </c>
      <c r="P19">
        <f t="shared" si="3"/>
        <v>0.13805999999999999</v>
      </c>
      <c r="Q19">
        <f t="shared" si="2"/>
        <v>0.86682999999999999</v>
      </c>
      <c r="R19">
        <f t="shared" si="2"/>
        <v>0.13988</v>
      </c>
      <c r="S19">
        <f t="shared" si="2"/>
        <v>9.715E-2</v>
      </c>
      <c r="T19">
        <f t="shared" si="2"/>
        <v>0.11257</v>
      </c>
      <c r="U19">
        <f t="shared" si="2"/>
        <v>7.3263999999999996E-2</v>
      </c>
      <c r="V19">
        <f t="shared" si="2"/>
        <v>0.11698</v>
      </c>
      <c r="W19">
        <f t="shared" si="2"/>
        <v>0.72477999999999998</v>
      </c>
      <c r="X19">
        <f t="shared" si="2"/>
        <v>0.14377000000000001</v>
      </c>
      <c r="Y19">
        <f t="shared" si="2"/>
        <v>9.7832000000000002E-2</v>
      </c>
      <c r="Z19">
        <f t="shared" si="2"/>
        <v>0.12870999999999999</v>
      </c>
      <c r="AA19">
        <f t="shared" si="2"/>
        <v>8.1477999999999995E-2</v>
      </c>
      <c r="AC19" t="s">
        <v>16</v>
      </c>
      <c r="AD19">
        <f>AD15/AD16</f>
        <v>39.582667814178286</v>
      </c>
    </row>
    <row r="20" spans="1:30" x14ac:dyDescent="0.25">
      <c r="A20" s="7" t="s">
        <v>7</v>
      </c>
      <c r="B20" s="6">
        <v>0.11572</v>
      </c>
      <c r="C20" s="6">
        <v>0.25335000000000002</v>
      </c>
      <c r="D20" s="6">
        <v>0.15378</v>
      </c>
      <c r="E20" s="6">
        <v>0.20857999999999999</v>
      </c>
      <c r="F20" s="6">
        <v>0.13861999999999999</v>
      </c>
      <c r="G20" s="6">
        <v>0.12701000000000001</v>
      </c>
      <c r="H20" s="6">
        <v>0.10136000000000001</v>
      </c>
      <c r="I20" s="6">
        <v>0.21573000000000001</v>
      </c>
      <c r="J20" s="6">
        <v>0.17766000000000001</v>
      </c>
      <c r="K20" s="6">
        <v>0.20616999999999999</v>
      </c>
      <c r="L20" s="6">
        <v>0.12640000000000001</v>
      </c>
      <c r="M20" s="6">
        <v>0.14116999999999999</v>
      </c>
      <c r="O20" s="9" t="s">
        <v>7</v>
      </c>
      <c r="P20">
        <f t="shared" si="3"/>
        <v>0.11572</v>
      </c>
      <c r="Q20">
        <f t="shared" si="2"/>
        <v>0.25335000000000002</v>
      </c>
      <c r="R20">
        <f t="shared" si="2"/>
        <v>0.15378</v>
      </c>
      <c r="S20">
        <f t="shared" si="2"/>
        <v>0.20857999999999999</v>
      </c>
      <c r="T20">
        <f t="shared" si="2"/>
        <v>0.13861999999999999</v>
      </c>
      <c r="U20">
        <f t="shared" si="2"/>
        <v>0.12701000000000001</v>
      </c>
      <c r="V20">
        <f t="shared" si="2"/>
        <v>0.10136000000000001</v>
      </c>
      <c r="W20">
        <f t="shared" si="2"/>
        <v>0.21573000000000001</v>
      </c>
      <c r="X20">
        <f t="shared" si="2"/>
        <v>0.17766000000000001</v>
      </c>
      <c r="Y20">
        <f t="shared" si="2"/>
        <v>0.20616999999999999</v>
      </c>
      <c r="Z20">
        <f t="shared" si="2"/>
        <v>0.12640000000000001</v>
      </c>
      <c r="AA20">
        <f t="shared" si="2"/>
        <v>0.14116999999999999</v>
      </c>
    </row>
    <row r="21" spans="1:30" x14ac:dyDescent="0.25">
      <c r="A21" s="7" t="s">
        <v>8</v>
      </c>
      <c r="B21" s="6">
        <v>0.12288</v>
      </c>
      <c r="C21" s="6">
        <v>0.1837</v>
      </c>
      <c r="D21" s="6">
        <v>0.12928000000000001</v>
      </c>
      <c r="E21" s="6">
        <v>0.11663</v>
      </c>
      <c r="F21" s="6">
        <v>0.16002</v>
      </c>
      <c r="G21" s="6">
        <v>3.1545999999999998</v>
      </c>
      <c r="H21" s="6">
        <v>0.12223000000000001</v>
      </c>
      <c r="I21" s="6">
        <v>0.18348</v>
      </c>
      <c r="J21" s="6">
        <v>0.10052999999999999</v>
      </c>
      <c r="K21" s="6">
        <v>0.11004</v>
      </c>
      <c r="L21" s="6">
        <v>0.21565999999999999</v>
      </c>
      <c r="M21" s="6">
        <v>3.3045</v>
      </c>
      <c r="O21" s="9" t="s">
        <v>8</v>
      </c>
      <c r="P21">
        <f t="shared" si="3"/>
        <v>0.12288</v>
      </c>
      <c r="Q21">
        <f t="shared" si="2"/>
        <v>0.1837</v>
      </c>
      <c r="R21">
        <f t="shared" si="2"/>
        <v>0.12928000000000001</v>
      </c>
      <c r="S21">
        <f t="shared" si="2"/>
        <v>0.11663</v>
      </c>
      <c r="T21">
        <f t="shared" si="2"/>
        <v>0.16002</v>
      </c>
      <c r="U21">
        <f t="shared" si="2"/>
        <v>3.1545999999999998</v>
      </c>
      <c r="V21">
        <f t="shared" si="2"/>
        <v>0.12223000000000001</v>
      </c>
      <c r="W21">
        <f t="shared" si="2"/>
        <v>0.18348</v>
      </c>
      <c r="X21">
        <f t="shared" si="2"/>
        <v>0.10052999999999999</v>
      </c>
      <c r="Y21">
        <f t="shared" si="2"/>
        <v>0.11004</v>
      </c>
      <c r="Z21">
        <f t="shared" si="2"/>
        <v>0.21565999999999999</v>
      </c>
      <c r="AA21">
        <f t="shared" si="2"/>
        <v>3.3045</v>
      </c>
      <c r="AC21" t="s">
        <v>17</v>
      </c>
      <c r="AD21" t="str">
        <f>IF((AND(AD15&gt;2,AD15&lt;3,AD19&gt;10)),"PASS","FAIL")</f>
        <v>FAIL</v>
      </c>
    </row>
    <row r="22" spans="1:30" x14ac:dyDescent="0.25">
      <c r="A22" s="7" t="s">
        <v>9</v>
      </c>
      <c r="B22" s="6">
        <v>0.20709</v>
      </c>
      <c r="C22" s="6">
        <v>0.19696</v>
      </c>
      <c r="D22" s="6">
        <v>0.11559</v>
      </c>
      <c r="E22" s="6">
        <v>0.14541999999999999</v>
      </c>
      <c r="F22" s="6">
        <v>0.25069000000000002</v>
      </c>
      <c r="G22" s="6">
        <v>3.1991000000000001</v>
      </c>
      <c r="H22" s="6">
        <v>0.13847000000000001</v>
      </c>
      <c r="I22" s="6">
        <v>0.21351999999999999</v>
      </c>
      <c r="J22" s="6">
        <v>9.7923999999999997E-2</v>
      </c>
      <c r="K22" s="6">
        <v>0.15332000000000001</v>
      </c>
      <c r="L22" s="6">
        <v>0.25036999999999998</v>
      </c>
      <c r="M22" s="6">
        <v>3.3046000000000002</v>
      </c>
      <c r="O22" s="9" t="s">
        <v>9</v>
      </c>
      <c r="P22">
        <f t="shared" si="3"/>
        <v>0.20709</v>
      </c>
      <c r="Q22">
        <f t="shared" si="2"/>
        <v>0.19696</v>
      </c>
      <c r="R22">
        <f t="shared" si="2"/>
        <v>0.11559</v>
      </c>
      <c r="S22">
        <f t="shared" si="2"/>
        <v>0.14541999999999999</v>
      </c>
      <c r="T22">
        <f t="shared" si="2"/>
        <v>0.25069000000000002</v>
      </c>
      <c r="U22">
        <f t="shared" si="2"/>
        <v>3.1991000000000001</v>
      </c>
      <c r="V22">
        <f t="shared" si="2"/>
        <v>0.13847000000000001</v>
      </c>
      <c r="W22">
        <f t="shared" si="2"/>
        <v>0.21351999999999999</v>
      </c>
      <c r="X22">
        <f t="shared" si="2"/>
        <v>9.7923999999999997E-2</v>
      </c>
      <c r="Y22">
        <f t="shared" si="2"/>
        <v>0.15332000000000001</v>
      </c>
      <c r="Z22">
        <f t="shared" si="2"/>
        <v>0.25036999999999998</v>
      </c>
      <c r="AA22">
        <f t="shared" si="2"/>
        <v>3.3046000000000002</v>
      </c>
    </row>
    <row r="23" spans="1:30" x14ac:dyDescent="0.25">
      <c r="A23" s="7" t="s">
        <v>53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O23" s="9" t="s">
        <v>78</v>
      </c>
    </row>
    <row r="24" spans="1:30" x14ac:dyDescent="0.25">
      <c r="A24" s="7" t="s">
        <v>1</v>
      </c>
      <c r="B24" s="6">
        <v>1</v>
      </c>
      <c r="C24" s="6">
        <v>2</v>
      </c>
      <c r="D24" s="6">
        <v>3</v>
      </c>
      <c r="E24" s="6">
        <v>4</v>
      </c>
      <c r="F24" s="6">
        <v>5</v>
      </c>
      <c r="G24" s="6">
        <v>6</v>
      </c>
      <c r="H24" s="6">
        <v>7</v>
      </c>
      <c r="I24" s="6">
        <v>8</v>
      </c>
      <c r="J24" s="6">
        <v>9</v>
      </c>
      <c r="K24" s="6">
        <v>10</v>
      </c>
      <c r="L24" s="6">
        <v>11</v>
      </c>
      <c r="M24" s="6">
        <v>12</v>
      </c>
      <c r="O24" s="9" t="s">
        <v>1</v>
      </c>
      <c r="P24">
        <v>1</v>
      </c>
      <c r="Q24">
        <v>2</v>
      </c>
      <c r="R24">
        <v>3</v>
      </c>
      <c r="S24">
        <v>4</v>
      </c>
      <c r="T24">
        <v>5</v>
      </c>
      <c r="U24">
        <v>6</v>
      </c>
      <c r="V24">
        <v>7</v>
      </c>
      <c r="W24">
        <v>8</v>
      </c>
      <c r="X24">
        <v>9</v>
      </c>
      <c r="Y24">
        <v>10</v>
      </c>
      <c r="Z24">
        <v>11</v>
      </c>
      <c r="AA24">
        <v>12</v>
      </c>
      <c r="AC24" s="2" t="s">
        <v>42</v>
      </c>
    </row>
    <row r="25" spans="1:30" x14ac:dyDescent="0.25">
      <c r="A25" s="7" t="s">
        <v>2</v>
      </c>
      <c r="B25" s="6">
        <v>0.13994000000000001</v>
      </c>
      <c r="C25" s="6">
        <v>0.1956</v>
      </c>
      <c r="D25" s="6">
        <v>0.19086</v>
      </c>
      <c r="E25" s="6">
        <v>0.11403000000000001</v>
      </c>
      <c r="F25" s="6">
        <v>0.21965000000000001</v>
      </c>
      <c r="G25" s="6">
        <v>8.8047E-2</v>
      </c>
      <c r="H25" s="6">
        <v>0.12654000000000001</v>
      </c>
      <c r="I25" s="6">
        <v>0.16974</v>
      </c>
      <c r="J25" s="6">
        <v>0.16572999999999999</v>
      </c>
      <c r="K25" s="6">
        <v>0.13352</v>
      </c>
      <c r="L25" s="6">
        <v>0.18647</v>
      </c>
      <c r="M25" s="6">
        <v>6.6798999999999997E-2</v>
      </c>
      <c r="O25" s="9" t="s">
        <v>2</v>
      </c>
      <c r="P25">
        <f>B25</f>
        <v>0.13994000000000001</v>
      </c>
      <c r="Q25">
        <f t="shared" ref="Q25:AA32" si="4">C25</f>
        <v>0.1956</v>
      </c>
      <c r="R25">
        <f t="shared" si="4"/>
        <v>0.19086</v>
      </c>
      <c r="S25">
        <f t="shared" si="4"/>
        <v>0.11403000000000001</v>
      </c>
      <c r="T25">
        <f t="shared" si="4"/>
        <v>0.21965000000000001</v>
      </c>
      <c r="U25">
        <f t="shared" si="4"/>
        <v>8.8047E-2</v>
      </c>
      <c r="V25">
        <f t="shared" si="4"/>
        <v>0.12654000000000001</v>
      </c>
      <c r="W25">
        <f t="shared" si="4"/>
        <v>0.16974</v>
      </c>
      <c r="X25">
        <f t="shared" si="4"/>
        <v>0.16572999999999999</v>
      </c>
      <c r="Y25">
        <f t="shared" si="4"/>
        <v>0.13352</v>
      </c>
      <c r="Z25">
        <f t="shared" si="4"/>
        <v>0.18647</v>
      </c>
      <c r="AA25">
        <f t="shared" si="4"/>
        <v>6.6798999999999997E-2</v>
      </c>
      <c r="AC25" t="s">
        <v>12</v>
      </c>
      <c r="AD25">
        <f>AVERAGE(U31,U32,AA31,AA32)</f>
        <v>3.4263750000000002</v>
      </c>
    </row>
    <row r="26" spans="1:30" x14ac:dyDescent="0.25">
      <c r="A26" s="7" t="s">
        <v>3</v>
      </c>
      <c r="B26" s="6">
        <v>0.13092999999999999</v>
      </c>
      <c r="C26" s="6">
        <v>0.1206</v>
      </c>
      <c r="D26" s="6">
        <v>0.17587</v>
      </c>
      <c r="E26" s="6">
        <v>0.13166</v>
      </c>
      <c r="F26" s="6">
        <v>0.11813</v>
      </c>
      <c r="G26" s="6">
        <v>8.3654000000000006E-2</v>
      </c>
      <c r="H26" s="6">
        <v>0.11806999999999999</v>
      </c>
      <c r="I26" s="6">
        <v>0.12325999999999999</v>
      </c>
      <c r="J26" s="6">
        <v>0.13691999999999999</v>
      </c>
      <c r="K26" s="6">
        <v>0.11811000000000001</v>
      </c>
      <c r="L26" s="6">
        <v>0.10511</v>
      </c>
      <c r="M26" s="6">
        <v>7.7326000000000006E-2</v>
      </c>
      <c r="O26" s="9" t="s">
        <v>3</v>
      </c>
      <c r="P26">
        <f t="shared" ref="P26:P32" si="5">B26</f>
        <v>0.13092999999999999</v>
      </c>
      <c r="Q26">
        <f t="shared" si="4"/>
        <v>0.1206</v>
      </c>
      <c r="R26">
        <f t="shared" si="4"/>
        <v>0.17587</v>
      </c>
      <c r="S26">
        <f t="shared" si="4"/>
        <v>0.13166</v>
      </c>
      <c r="T26">
        <f t="shared" si="4"/>
        <v>0.11813</v>
      </c>
      <c r="U26">
        <f t="shared" si="4"/>
        <v>8.3654000000000006E-2</v>
      </c>
      <c r="V26">
        <f t="shared" si="4"/>
        <v>0.11806999999999999</v>
      </c>
      <c r="W26">
        <f t="shared" si="4"/>
        <v>0.12325999999999999</v>
      </c>
      <c r="X26">
        <f t="shared" si="4"/>
        <v>0.13691999999999999</v>
      </c>
      <c r="Y26">
        <f t="shared" si="4"/>
        <v>0.11811000000000001</v>
      </c>
      <c r="Z26">
        <f t="shared" si="4"/>
        <v>0.10511</v>
      </c>
      <c r="AA26">
        <f t="shared" si="4"/>
        <v>7.7326000000000006E-2</v>
      </c>
      <c r="AC26" t="s">
        <v>13</v>
      </c>
      <c r="AD26">
        <f>AVERAGE(U25,U26,U27,U28,U29,U30,AA25,AA26,AA27,AA28,AA29,AA30,)</f>
        <v>8.6803461538461538E-2</v>
      </c>
    </row>
    <row r="27" spans="1:30" x14ac:dyDescent="0.25">
      <c r="A27" s="7" t="s">
        <v>4</v>
      </c>
      <c r="B27" s="6">
        <v>0.21328</v>
      </c>
      <c r="C27" s="6">
        <v>0.13086999999999999</v>
      </c>
      <c r="D27" s="6">
        <v>0.34159</v>
      </c>
      <c r="E27" s="6">
        <v>0.30044999999999999</v>
      </c>
      <c r="F27" s="6">
        <v>0.19203000000000001</v>
      </c>
      <c r="G27" s="6">
        <v>7.4576000000000003E-2</v>
      </c>
      <c r="H27" s="6">
        <v>0.18498999999999999</v>
      </c>
      <c r="I27" s="6">
        <v>0.11573</v>
      </c>
      <c r="J27" s="6">
        <v>0.30209999999999998</v>
      </c>
      <c r="K27" s="6">
        <v>0.30939</v>
      </c>
      <c r="L27" s="6">
        <v>0.19559000000000001</v>
      </c>
      <c r="M27" s="6">
        <v>7.8275999999999998E-2</v>
      </c>
      <c r="O27" s="9" t="s">
        <v>4</v>
      </c>
      <c r="P27">
        <f t="shared" si="5"/>
        <v>0.21328</v>
      </c>
      <c r="Q27">
        <f t="shared" si="4"/>
        <v>0.13086999999999999</v>
      </c>
      <c r="R27">
        <f t="shared" si="4"/>
        <v>0.34159</v>
      </c>
      <c r="S27">
        <f t="shared" si="4"/>
        <v>0.30044999999999999</v>
      </c>
      <c r="T27">
        <f t="shared" si="4"/>
        <v>0.19203000000000001</v>
      </c>
      <c r="U27">
        <f t="shared" si="4"/>
        <v>7.4576000000000003E-2</v>
      </c>
      <c r="V27">
        <f t="shared" si="4"/>
        <v>0.18498999999999999</v>
      </c>
      <c r="W27">
        <f t="shared" si="4"/>
        <v>0.11573</v>
      </c>
      <c r="X27">
        <f t="shared" si="4"/>
        <v>0.30209999999999998</v>
      </c>
      <c r="Y27">
        <f t="shared" si="4"/>
        <v>0.30939</v>
      </c>
      <c r="Z27">
        <f t="shared" si="4"/>
        <v>0.19559000000000001</v>
      </c>
      <c r="AA27">
        <f t="shared" si="4"/>
        <v>7.8275999999999998E-2</v>
      </c>
      <c r="AC27" t="s">
        <v>14</v>
      </c>
      <c r="AD27">
        <f>AD26+(0.35*AD25)</f>
        <v>1.2860347115384616</v>
      </c>
    </row>
    <row r="28" spans="1:30" x14ac:dyDescent="0.25">
      <c r="A28" s="7" t="s">
        <v>5</v>
      </c>
      <c r="B28" s="6">
        <v>0.13986000000000001</v>
      </c>
      <c r="C28" s="6">
        <v>0.14096</v>
      </c>
      <c r="D28" s="6">
        <v>0.20246</v>
      </c>
      <c r="E28" s="6">
        <v>0.14987</v>
      </c>
      <c r="F28" s="6">
        <v>0.12404999999999999</v>
      </c>
      <c r="G28" s="6">
        <v>8.7565000000000004E-2</v>
      </c>
      <c r="H28" s="6">
        <v>0.10342999999999999</v>
      </c>
      <c r="I28" s="6">
        <v>0.11598</v>
      </c>
      <c r="J28" s="6">
        <v>0.19423000000000001</v>
      </c>
      <c r="K28" s="6">
        <v>0.21762999999999999</v>
      </c>
      <c r="L28" s="6">
        <v>0.12452000000000001</v>
      </c>
      <c r="M28" s="6">
        <v>8.9401999999999995E-2</v>
      </c>
      <c r="O28" s="9" t="s">
        <v>5</v>
      </c>
      <c r="P28">
        <f t="shared" si="5"/>
        <v>0.13986000000000001</v>
      </c>
      <c r="Q28">
        <f t="shared" si="4"/>
        <v>0.14096</v>
      </c>
      <c r="R28">
        <f t="shared" si="4"/>
        <v>0.20246</v>
      </c>
      <c r="S28">
        <f t="shared" si="4"/>
        <v>0.14987</v>
      </c>
      <c r="T28">
        <f t="shared" si="4"/>
        <v>0.12404999999999999</v>
      </c>
      <c r="U28">
        <f t="shared" si="4"/>
        <v>8.7565000000000004E-2</v>
      </c>
      <c r="V28">
        <f t="shared" si="4"/>
        <v>0.10342999999999999</v>
      </c>
      <c r="W28">
        <f t="shared" si="4"/>
        <v>0.11598</v>
      </c>
      <c r="X28">
        <f t="shared" si="4"/>
        <v>0.19423000000000001</v>
      </c>
      <c r="Y28">
        <f t="shared" si="4"/>
        <v>0.21762999999999999</v>
      </c>
      <c r="Z28">
        <f t="shared" si="4"/>
        <v>0.12452000000000001</v>
      </c>
      <c r="AA28">
        <f t="shared" si="4"/>
        <v>8.9401999999999995E-2</v>
      </c>
      <c r="AC28" t="s">
        <v>15</v>
      </c>
      <c r="AD28">
        <f>AD26+(0.25*AD25)</f>
        <v>0.94339721153846157</v>
      </c>
    </row>
    <row r="29" spans="1:30" x14ac:dyDescent="0.25">
      <c r="A29" s="7" t="s">
        <v>6</v>
      </c>
      <c r="B29" s="6">
        <v>0.15543000000000001</v>
      </c>
      <c r="C29" s="6">
        <v>1.2584</v>
      </c>
      <c r="D29" s="6">
        <v>0.17444000000000001</v>
      </c>
      <c r="E29" s="6">
        <v>0.10956</v>
      </c>
      <c r="F29" s="6">
        <v>0.13059000000000001</v>
      </c>
      <c r="G29" s="6">
        <v>7.3010000000000005E-2</v>
      </c>
      <c r="H29" s="6">
        <v>0.13120999999999999</v>
      </c>
      <c r="I29" s="6">
        <v>1.0475000000000001</v>
      </c>
      <c r="J29" s="6">
        <v>0.17815</v>
      </c>
      <c r="K29" s="6">
        <v>0.11365</v>
      </c>
      <c r="L29" s="6">
        <v>0.14802000000000001</v>
      </c>
      <c r="M29" s="6">
        <v>8.2960000000000006E-2</v>
      </c>
      <c r="O29" s="9" t="s">
        <v>6</v>
      </c>
      <c r="P29">
        <f t="shared" si="5"/>
        <v>0.15543000000000001</v>
      </c>
      <c r="Q29">
        <f t="shared" si="4"/>
        <v>1.2584</v>
      </c>
      <c r="R29">
        <f t="shared" si="4"/>
        <v>0.17444000000000001</v>
      </c>
      <c r="S29">
        <f t="shared" si="4"/>
        <v>0.10956</v>
      </c>
      <c r="T29">
        <f t="shared" si="4"/>
        <v>0.13059000000000001</v>
      </c>
      <c r="U29">
        <f t="shared" si="4"/>
        <v>7.3010000000000005E-2</v>
      </c>
      <c r="V29">
        <f t="shared" si="4"/>
        <v>0.13120999999999999</v>
      </c>
      <c r="W29">
        <f t="shared" si="4"/>
        <v>1.0475000000000001</v>
      </c>
      <c r="X29">
        <f t="shared" si="4"/>
        <v>0.17815</v>
      </c>
      <c r="Y29">
        <f t="shared" si="4"/>
        <v>0.11365</v>
      </c>
      <c r="Z29">
        <f t="shared" si="4"/>
        <v>0.14802000000000001</v>
      </c>
      <c r="AA29">
        <f t="shared" si="4"/>
        <v>8.2960000000000006E-2</v>
      </c>
      <c r="AC29" t="s">
        <v>16</v>
      </c>
      <c r="AD29">
        <f>AD25/AD26</f>
        <v>39.472792205202737</v>
      </c>
    </row>
    <row r="30" spans="1:30" x14ac:dyDescent="0.25">
      <c r="A30" s="7" t="s">
        <v>7</v>
      </c>
      <c r="B30" s="6">
        <v>0.1308</v>
      </c>
      <c r="C30" s="6">
        <v>0.34964000000000001</v>
      </c>
      <c r="D30" s="6">
        <v>0.19947000000000001</v>
      </c>
      <c r="E30" s="6">
        <v>0.27782000000000001</v>
      </c>
      <c r="F30" s="6">
        <v>0.17019000000000001</v>
      </c>
      <c r="G30" s="6">
        <v>0.15393000000000001</v>
      </c>
      <c r="H30" s="6">
        <v>0.11342000000000001</v>
      </c>
      <c r="I30" s="6">
        <v>0.29685</v>
      </c>
      <c r="J30" s="6">
        <v>0.23352000000000001</v>
      </c>
      <c r="K30" s="6">
        <v>0.27509</v>
      </c>
      <c r="L30" s="6">
        <v>0.15845000000000001</v>
      </c>
      <c r="M30" s="6">
        <v>0.1729</v>
      </c>
      <c r="O30" s="9" t="s">
        <v>7</v>
      </c>
      <c r="P30">
        <f t="shared" si="5"/>
        <v>0.1308</v>
      </c>
      <c r="Q30">
        <f t="shared" si="4"/>
        <v>0.34964000000000001</v>
      </c>
      <c r="R30">
        <f t="shared" si="4"/>
        <v>0.19947000000000001</v>
      </c>
      <c r="S30">
        <f t="shared" si="4"/>
        <v>0.27782000000000001</v>
      </c>
      <c r="T30">
        <f t="shared" si="4"/>
        <v>0.17019000000000001</v>
      </c>
      <c r="U30">
        <f t="shared" si="4"/>
        <v>0.15393000000000001</v>
      </c>
      <c r="V30">
        <f t="shared" si="4"/>
        <v>0.11342000000000001</v>
      </c>
      <c r="W30">
        <f t="shared" si="4"/>
        <v>0.29685</v>
      </c>
      <c r="X30">
        <f t="shared" si="4"/>
        <v>0.23352000000000001</v>
      </c>
      <c r="Y30">
        <f t="shared" si="4"/>
        <v>0.27509</v>
      </c>
      <c r="Z30">
        <f t="shared" si="4"/>
        <v>0.15845000000000001</v>
      </c>
      <c r="AA30">
        <f t="shared" si="4"/>
        <v>0.1729</v>
      </c>
    </row>
    <row r="31" spans="1:30" x14ac:dyDescent="0.25">
      <c r="A31" s="7" t="s">
        <v>8</v>
      </c>
      <c r="B31" s="6">
        <v>0.24493999999999999</v>
      </c>
      <c r="C31" s="6">
        <v>0.33022000000000001</v>
      </c>
      <c r="D31" s="6">
        <v>0.16128000000000001</v>
      </c>
      <c r="E31" s="6">
        <v>0.12898000000000001</v>
      </c>
      <c r="F31" s="6">
        <v>0.19957</v>
      </c>
      <c r="G31" s="6">
        <v>3.4007000000000001</v>
      </c>
      <c r="H31" s="6">
        <v>0.14960000000000001</v>
      </c>
      <c r="I31" s="6">
        <v>0.24590000000000001</v>
      </c>
      <c r="J31" s="6">
        <v>0.11838</v>
      </c>
      <c r="K31" s="6">
        <v>0.12520999999999999</v>
      </c>
      <c r="L31" s="6">
        <v>0.28820000000000001</v>
      </c>
      <c r="M31" s="6">
        <v>3.4491000000000001</v>
      </c>
      <c r="O31" s="9" t="s">
        <v>8</v>
      </c>
      <c r="P31">
        <f t="shared" si="5"/>
        <v>0.24493999999999999</v>
      </c>
      <c r="Q31">
        <f t="shared" si="4"/>
        <v>0.33022000000000001</v>
      </c>
      <c r="R31">
        <f t="shared" si="4"/>
        <v>0.16128000000000001</v>
      </c>
      <c r="S31">
        <f t="shared" si="4"/>
        <v>0.12898000000000001</v>
      </c>
      <c r="T31">
        <f t="shared" si="4"/>
        <v>0.19957</v>
      </c>
      <c r="U31">
        <f t="shared" si="4"/>
        <v>3.4007000000000001</v>
      </c>
      <c r="V31">
        <f t="shared" si="4"/>
        <v>0.14960000000000001</v>
      </c>
      <c r="W31">
        <f t="shared" si="4"/>
        <v>0.24590000000000001</v>
      </c>
      <c r="X31">
        <f t="shared" si="4"/>
        <v>0.11838</v>
      </c>
      <c r="Y31">
        <f t="shared" si="4"/>
        <v>0.12520999999999999</v>
      </c>
      <c r="Z31">
        <f t="shared" si="4"/>
        <v>0.28820000000000001</v>
      </c>
      <c r="AA31">
        <f t="shared" si="4"/>
        <v>3.4491000000000001</v>
      </c>
      <c r="AC31" t="s">
        <v>17</v>
      </c>
      <c r="AD31" t="str">
        <f>IF((AND(AD25&gt;2,AD25&lt;3,AD29&gt;10)),"PASS","FAIL")</f>
        <v>FAIL</v>
      </c>
    </row>
    <row r="32" spans="1:30" x14ac:dyDescent="0.25">
      <c r="A32" s="7" t="s">
        <v>9</v>
      </c>
      <c r="B32" s="6">
        <v>0.24016999999999999</v>
      </c>
      <c r="C32" s="6">
        <v>0.24143999999999999</v>
      </c>
      <c r="D32" s="6">
        <v>0.11545</v>
      </c>
      <c r="E32" s="6">
        <v>0.17413000000000001</v>
      </c>
      <c r="F32" s="6">
        <v>0.34472000000000003</v>
      </c>
      <c r="G32" s="6">
        <v>3.4174000000000002</v>
      </c>
      <c r="H32" s="6">
        <v>0.16786000000000001</v>
      </c>
      <c r="I32" s="6">
        <v>0.25896999999999998</v>
      </c>
      <c r="J32" s="6">
        <v>9.7731999999999999E-2</v>
      </c>
      <c r="K32" s="6">
        <v>0.17879999999999999</v>
      </c>
      <c r="L32" s="6">
        <v>0.34834999999999999</v>
      </c>
      <c r="M32" s="6">
        <v>3.4382999999999999</v>
      </c>
      <c r="O32" s="9" t="s">
        <v>9</v>
      </c>
      <c r="P32">
        <f t="shared" si="5"/>
        <v>0.24016999999999999</v>
      </c>
      <c r="Q32">
        <f t="shared" si="4"/>
        <v>0.24143999999999999</v>
      </c>
      <c r="R32">
        <f t="shared" si="4"/>
        <v>0.11545</v>
      </c>
      <c r="S32">
        <f t="shared" si="4"/>
        <v>0.17413000000000001</v>
      </c>
      <c r="T32">
        <f t="shared" si="4"/>
        <v>0.34472000000000003</v>
      </c>
      <c r="U32">
        <f t="shared" si="4"/>
        <v>3.4174000000000002</v>
      </c>
      <c r="V32">
        <f t="shared" si="4"/>
        <v>0.16786000000000001</v>
      </c>
      <c r="W32">
        <f t="shared" si="4"/>
        <v>0.25896999999999998</v>
      </c>
      <c r="X32">
        <f t="shared" si="4"/>
        <v>9.7731999999999999E-2</v>
      </c>
      <c r="Y32">
        <f t="shared" si="4"/>
        <v>0.17879999999999999</v>
      </c>
      <c r="Z32">
        <f t="shared" si="4"/>
        <v>0.34834999999999999</v>
      </c>
      <c r="AA32">
        <f t="shared" si="4"/>
        <v>3.4382999999999999</v>
      </c>
    </row>
    <row r="33" spans="1:13" x14ac:dyDescent="0.25">
      <c r="A33" s="7" t="s">
        <v>10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7" t="s">
        <v>1</v>
      </c>
      <c r="B34" s="6">
        <v>1</v>
      </c>
      <c r="C34" s="6">
        <v>2</v>
      </c>
      <c r="D34" s="6">
        <v>3</v>
      </c>
      <c r="E34" s="6">
        <v>4</v>
      </c>
      <c r="F34" s="6">
        <v>5</v>
      </c>
      <c r="G34" s="6">
        <v>6</v>
      </c>
      <c r="H34" s="6">
        <v>7</v>
      </c>
      <c r="I34" s="6">
        <v>8</v>
      </c>
      <c r="J34" s="6">
        <v>9</v>
      </c>
      <c r="K34" s="6">
        <v>10</v>
      </c>
      <c r="L34" s="6">
        <v>11</v>
      </c>
      <c r="M34" s="6">
        <v>12</v>
      </c>
    </row>
    <row r="35" spans="1:13" x14ac:dyDescent="0.25">
      <c r="A35" s="7" t="s">
        <v>2</v>
      </c>
      <c r="B35" s="6">
        <v>8.4556000000000006E-2</v>
      </c>
      <c r="C35" s="6">
        <v>9.2733999999999997E-2</v>
      </c>
      <c r="D35" s="6">
        <v>9.6581E-2</v>
      </c>
      <c r="E35" s="6">
        <v>8.0147999999999997E-2</v>
      </c>
      <c r="F35" s="6">
        <v>0.10772</v>
      </c>
      <c r="G35" s="6">
        <v>7.2266999999999998E-2</v>
      </c>
      <c r="H35" s="7" t="s">
        <v>20</v>
      </c>
      <c r="I35" s="7" t="s">
        <v>20</v>
      </c>
      <c r="J35" s="7" t="s">
        <v>20</v>
      </c>
      <c r="K35" s="7" t="s">
        <v>20</v>
      </c>
      <c r="L35" s="7" t="s">
        <v>20</v>
      </c>
      <c r="M35" s="7" t="s">
        <v>20</v>
      </c>
    </row>
    <row r="36" spans="1:13" x14ac:dyDescent="0.25">
      <c r="A36" s="7" t="s">
        <v>3</v>
      </c>
      <c r="B36" s="6">
        <v>7.9737000000000002E-2</v>
      </c>
      <c r="C36" s="6">
        <v>8.0576999999999996E-2</v>
      </c>
      <c r="D36" s="6">
        <v>9.6560999999999994E-2</v>
      </c>
      <c r="E36" s="6">
        <v>8.0383999999999997E-2</v>
      </c>
      <c r="F36" s="6">
        <v>8.2265000000000005E-2</v>
      </c>
      <c r="G36" s="7" t="s">
        <v>20</v>
      </c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  <c r="M36" s="7" t="s">
        <v>20</v>
      </c>
    </row>
    <row r="37" spans="1:13" x14ac:dyDescent="0.25">
      <c r="A37" s="7" t="s">
        <v>4</v>
      </c>
      <c r="B37" s="6">
        <v>0.10022</v>
      </c>
      <c r="C37" s="6">
        <v>7.7160999999999993E-2</v>
      </c>
      <c r="D37" s="6">
        <v>0.14083999999999999</v>
      </c>
      <c r="E37" s="6">
        <v>0.13013</v>
      </c>
      <c r="F37" s="6">
        <v>9.7865999999999995E-2</v>
      </c>
      <c r="G37" s="7" t="s">
        <v>20</v>
      </c>
      <c r="H37" s="7" t="s">
        <v>20</v>
      </c>
      <c r="I37" s="7" t="s">
        <v>20</v>
      </c>
      <c r="J37" s="7" t="s">
        <v>20</v>
      </c>
      <c r="K37" s="7" t="s">
        <v>20</v>
      </c>
      <c r="L37" s="7" t="s">
        <v>20</v>
      </c>
      <c r="M37" s="7" t="s">
        <v>20</v>
      </c>
    </row>
    <row r="38" spans="1:13" x14ac:dyDescent="0.25">
      <c r="A38" s="7" t="s">
        <v>5</v>
      </c>
      <c r="B38" s="6">
        <v>7.2315000000000004E-2</v>
      </c>
      <c r="C38" s="6">
        <v>7.8229999999999994E-2</v>
      </c>
      <c r="D38" s="6">
        <v>0.10256999999999999</v>
      </c>
      <c r="E38" s="6">
        <v>9.3665999999999999E-2</v>
      </c>
      <c r="F38" s="6">
        <v>8.0611000000000002E-2</v>
      </c>
      <c r="G38" s="7" t="s">
        <v>20</v>
      </c>
      <c r="H38" s="7" t="s">
        <v>20</v>
      </c>
      <c r="I38" s="7" t="s">
        <v>20</v>
      </c>
      <c r="J38" s="7" t="s">
        <v>20</v>
      </c>
      <c r="K38" s="7" t="s">
        <v>20</v>
      </c>
      <c r="L38" s="7" t="s">
        <v>20</v>
      </c>
      <c r="M38" s="7" t="s">
        <v>20</v>
      </c>
    </row>
    <row r="39" spans="1:13" x14ac:dyDescent="0.25">
      <c r="A39" s="7" t="s">
        <v>6</v>
      </c>
      <c r="B39" s="6">
        <v>8.7243000000000001E-2</v>
      </c>
      <c r="C39" s="6">
        <v>0.40101999999999999</v>
      </c>
      <c r="D39" s="6">
        <v>9.9721000000000004E-2</v>
      </c>
      <c r="E39" s="6">
        <v>7.3994000000000004E-2</v>
      </c>
      <c r="F39" s="6">
        <v>8.9426000000000005E-2</v>
      </c>
      <c r="G39" s="7" t="s">
        <v>20</v>
      </c>
      <c r="H39" s="7" t="s">
        <v>20</v>
      </c>
      <c r="I39" s="7" t="s">
        <v>20</v>
      </c>
      <c r="J39" s="7" t="s">
        <v>20</v>
      </c>
      <c r="K39" s="7" t="s">
        <v>20</v>
      </c>
      <c r="L39" s="7" t="s">
        <v>20</v>
      </c>
      <c r="M39" s="7" t="s">
        <v>20</v>
      </c>
    </row>
    <row r="40" spans="1:13" x14ac:dyDescent="0.25">
      <c r="A40" s="7" t="s">
        <v>7</v>
      </c>
      <c r="B40" s="6">
        <v>6.9695999999999994E-2</v>
      </c>
      <c r="C40" s="6">
        <v>0.14030999999999999</v>
      </c>
      <c r="D40" s="6">
        <v>0.10962</v>
      </c>
      <c r="E40" s="6">
        <v>0.13183</v>
      </c>
      <c r="F40" s="6">
        <v>9.2809000000000003E-2</v>
      </c>
      <c r="G40" s="6">
        <v>0.12007</v>
      </c>
      <c r="H40" s="7" t="s">
        <v>20</v>
      </c>
      <c r="I40" s="7" t="s">
        <v>20</v>
      </c>
      <c r="J40" s="7" t="s">
        <v>20</v>
      </c>
      <c r="K40" s="7" t="s">
        <v>20</v>
      </c>
      <c r="L40" s="7" t="s">
        <v>20</v>
      </c>
      <c r="M40" s="7" t="s">
        <v>20</v>
      </c>
    </row>
    <row r="41" spans="1:13" x14ac:dyDescent="0.25">
      <c r="A41" s="7" t="s">
        <v>8</v>
      </c>
      <c r="B41" s="6">
        <v>8.8983999999999994E-2</v>
      </c>
      <c r="C41" s="6">
        <v>0.11645999999999999</v>
      </c>
      <c r="D41" s="6">
        <v>8.1154000000000004E-2</v>
      </c>
      <c r="E41" s="6">
        <v>8.6802000000000004E-2</v>
      </c>
      <c r="F41" s="6">
        <v>0.12311999999999999</v>
      </c>
      <c r="G41" s="7" t="s">
        <v>20</v>
      </c>
      <c r="H41" s="7" t="s">
        <v>20</v>
      </c>
      <c r="I41" s="7" t="s">
        <v>20</v>
      </c>
      <c r="J41" s="7" t="s">
        <v>20</v>
      </c>
      <c r="K41" s="7" t="s">
        <v>20</v>
      </c>
      <c r="L41" s="7" t="s">
        <v>20</v>
      </c>
      <c r="M41" s="7" t="s">
        <v>20</v>
      </c>
    </row>
    <row r="42" spans="1:13" x14ac:dyDescent="0.25">
      <c r="A42" s="7" t="s">
        <v>9</v>
      </c>
      <c r="B42" s="6">
        <v>8.5706000000000004E-2</v>
      </c>
      <c r="C42" s="6">
        <v>0.12155000000000001</v>
      </c>
      <c r="D42" s="6">
        <v>9.9293000000000006E-2</v>
      </c>
      <c r="E42" s="6">
        <v>0.1172</v>
      </c>
      <c r="F42" s="6">
        <v>0.14668999999999999</v>
      </c>
      <c r="G42" s="6">
        <v>2.4108000000000001</v>
      </c>
      <c r="H42" s="7" t="s">
        <v>20</v>
      </c>
      <c r="I42" s="7" t="s">
        <v>20</v>
      </c>
      <c r="J42" s="7" t="s">
        <v>20</v>
      </c>
      <c r="K42" s="7" t="s">
        <v>20</v>
      </c>
      <c r="L42" s="7" t="s">
        <v>20</v>
      </c>
      <c r="M42" s="7" t="s">
        <v>20</v>
      </c>
    </row>
    <row r="43" spans="1:13" x14ac:dyDescent="0.25">
      <c r="A43" s="7" t="s">
        <v>54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7" t="s">
        <v>1</v>
      </c>
      <c r="B44" s="6">
        <v>1</v>
      </c>
      <c r="C44" s="6">
        <v>2</v>
      </c>
      <c r="D44" s="6">
        <v>3</v>
      </c>
      <c r="E44" s="6">
        <v>4</v>
      </c>
      <c r="F44" s="6">
        <v>5</v>
      </c>
      <c r="G44" s="6">
        <v>6</v>
      </c>
      <c r="H44" s="6">
        <v>7</v>
      </c>
      <c r="I44" s="6">
        <v>8</v>
      </c>
      <c r="J44" s="6">
        <v>9</v>
      </c>
      <c r="K44" s="6">
        <v>10</v>
      </c>
      <c r="L44" s="6">
        <v>11</v>
      </c>
      <c r="M44" s="6">
        <v>12</v>
      </c>
    </row>
    <row r="45" spans="1:13" x14ac:dyDescent="0.25">
      <c r="A45" s="7" t="s">
        <v>2</v>
      </c>
      <c r="B45" s="6">
        <v>0.11401</v>
      </c>
      <c r="C45" s="6">
        <v>0.14191000000000001</v>
      </c>
      <c r="D45" s="6">
        <v>0.14033999999999999</v>
      </c>
      <c r="E45" s="6">
        <v>0.10428</v>
      </c>
      <c r="F45" s="6">
        <v>0.15826000000000001</v>
      </c>
      <c r="G45" s="6">
        <v>7.9615000000000005E-2</v>
      </c>
      <c r="H45" s="7" t="s">
        <v>20</v>
      </c>
      <c r="I45" s="7" t="s">
        <v>20</v>
      </c>
      <c r="J45" s="7" t="s">
        <v>20</v>
      </c>
      <c r="K45" s="7" t="s">
        <v>20</v>
      </c>
      <c r="L45" s="7" t="s">
        <v>20</v>
      </c>
      <c r="M45" s="7" t="s">
        <v>20</v>
      </c>
    </row>
    <row r="46" spans="1:13" x14ac:dyDescent="0.25">
      <c r="A46" s="7" t="s">
        <v>3</v>
      </c>
      <c r="B46" s="6">
        <v>0.10688</v>
      </c>
      <c r="C46" s="6">
        <v>0.10566</v>
      </c>
      <c r="D46" s="6">
        <v>0.12919</v>
      </c>
      <c r="E46" s="6">
        <v>0.1069</v>
      </c>
      <c r="F46" s="6">
        <v>9.9990999999999997E-2</v>
      </c>
      <c r="G46" s="7" t="s">
        <v>20</v>
      </c>
      <c r="H46" s="7" t="s">
        <v>20</v>
      </c>
      <c r="I46" s="7" t="s">
        <v>20</v>
      </c>
      <c r="J46" s="7" t="s">
        <v>20</v>
      </c>
      <c r="K46" s="7" t="s">
        <v>20</v>
      </c>
      <c r="L46" s="7" t="s">
        <v>20</v>
      </c>
      <c r="M46" s="7" t="s">
        <v>20</v>
      </c>
    </row>
    <row r="47" spans="1:13" x14ac:dyDescent="0.25">
      <c r="A47" s="7" t="s">
        <v>4</v>
      </c>
      <c r="B47" s="6">
        <v>0.15575</v>
      </c>
      <c r="C47" s="6">
        <v>0.10773000000000001</v>
      </c>
      <c r="D47" s="6">
        <v>0.23765</v>
      </c>
      <c r="E47" s="6">
        <v>0.22145000000000001</v>
      </c>
      <c r="F47" s="6">
        <v>0.14963000000000001</v>
      </c>
      <c r="G47" s="7" t="s">
        <v>20</v>
      </c>
      <c r="H47" s="7" t="s">
        <v>20</v>
      </c>
      <c r="I47" s="7" t="s">
        <v>20</v>
      </c>
      <c r="J47" s="7" t="s">
        <v>20</v>
      </c>
      <c r="K47" s="7" t="s">
        <v>20</v>
      </c>
      <c r="L47" s="7" t="s">
        <v>20</v>
      </c>
      <c r="M47" s="7" t="s">
        <v>20</v>
      </c>
    </row>
    <row r="48" spans="1:13" x14ac:dyDescent="0.25">
      <c r="A48" s="7" t="s">
        <v>5</v>
      </c>
      <c r="B48" s="6">
        <v>0.10815</v>
      </c>
      <c r="C48" s="6">
        <v>0.1119</v>
      </c>
      <c r="D48" s="6">
        <v>0.15567</v>
      </c>
      <c r="E48" s="6">
        <v>0.14379</v>
      </c>
      <c r="F48" s="6">
        <v>0.10705000000000001</v>
      </c>
      <c r="G48" s="7" t="s">
        <v>20</v>
      </c>
      <c r="H48" s="7" t="s">
        <v>20</v>
      </c>
      <c r="I48" s="7" t="s">
        <v>20</v>
      </c>
      <c r="J48" s="7" t="s">
        <v>20</v>
      </c>
      <c r="K48" s="7" t="s">
        <v>20</v>
      </c>
      <c r="L48" s="7" t="s">
        <v>20</v>
      </c>
      <c r="M48" s="7" t="s">
        <v>20</v>
      </c>
    </row>
    <row r="49" spans="1:13" x14ac:dyDescent="0.25">
      <c r="A49" s="7" t="s">
        <v>6</v>
      </c>
      <c r="B49" s="6">
        <v>0.12751999999999999</v>
      </c>
      <c r="C49" s="6">
        <v>0.79581000000000002</v>
      </c>
      <c r="D49" s="6">
        <v>0.14183000000000001</v>
      </c>
      <c r="E49" s="6">
        <v>9.7490999999999994E-2</v>
      </c>
      <c r="F49" s="6">
        <v>0.12064</v>
      </c>
      <c r="G49" s="7" t="s">
        <v>20</v>
      </c>
      <c r="H49" s="7" t="s">
        <v>20</v>
      </c>
      <c r="I49" s="7" t="s">
        <v>20</v>
      </c>
      <c r="J49" s="7" t="s">
        <v>20</v>
      </c>
      <c r="K49" s="7" t="s">
        <v>20</v>
      </c>
      <c r="L49" s="7" t="s">
        <v>20</v>
      </c>
      <c r="M49" s="7" t="s">
        <v>20</v>
      </c>
    </row>
    <row r="50" spans="1:13" x14ac:dyDescent="0.25">
      <c r="A50" s="7" t="s">
        <v>7</v>
      </c>
      <c r="B50" s="6">
        <v>0.10854</v>
      </c>
      <c r="C50" s="6">
        <v>0.23454</v>
      </c>
      <c r="D50" s="6">
        <v>0.16572000000000001</v>
      </c>
      <c r="E50" s="6">
        <v>0.20738000000000001</v>
      </c>
      <c r="F50" s="6">
        <v>0.13250999999999999</v>
      </c>
      <c r="G50" s="6">
        <v>0.13408999999999999</v>
      </c>
      <c r="H50" s="7" t="s">
        <v>20</v>
      </c>
      <c r="I50" s="7" t="s">
        <v>20</v>
      </c>
      <c r="J50" s="7" t="s">
        <v>20</v>
      </c>
      <c r="K50" s="7" t="s">
        <v>20</v>
      </c>
      <c r="L50" s="7" t="s">
        <v>20</v>
      </c>
      <c r="M50" s="7" t="s">
        <v>20</v>
      </c>
    </row>
    <row r="51" spans="1:13" x14ac:dyDescent="0.25">
      <c r="A51" s="7" t="s">
        <v>8</v>
      </c>
      <c r="B51" s="6">
        <v>0.12255000000000001</v>
      </c>
      <c r="C51" s="6">
        <v>0.18359</v>
      </c>
      <c r="D51" s="6">
        <v>0.1149</v>
      </c>
      <c r="E51" s="6">
        <v>0.11333</v>
      </c>
      <c r="F51" s="6">
        <v>0.18784000000000001</v>
      </c>
      <c r="G51" s="7" t="s">
        <v>20</v>
      </c>
      <c r="H51" s="7" t="s">
        <v>20</v>
      </c>
      <c r="I51" s="7" t="s">
        <v>20</v>
      </c>
      <c r="J51" s="7" t="s">
        <v>20</v>
      </c>
      <c r="K51" s="7" t="s">
        <v>20</v>
      </c>
      <c r="L51" s="7" t="s">
        <v>20</v>
      </c>
      <c r="M51" s="7" t="s">
        <v>20</v>
      </c>
    </row>
    <row r="52" spans="1:13" x14ac:dyDescent="0.25">
      <c r="A52" s="7" t="s">
        <v>9</v>
      </c>
      <c r="B52" s="6">
        <v>0.17277999999999999</v>
      </c>
      <c r="C52" s="6">
        <v>0.20524000000000001</v>
      </c>
      <c r="D52" s="6">
        <v>0.10675999999999999</v>
      </c>
      <c r="E52" s="6">
        <v>0.14937</v>
      </c>
      <c r="F52" s="6">
        <v>0.25052999999999997</v>
      </c>
      <c r="G52" s="6">
        <v>3.2406999999999999</v>
      </c>
      <c r="H52" s="7" t="s">
        <v>20</v>
      </c>
      <c r="I52" s="7" t="s">
        <v>20</v>
      </c>
      <c r="J52" s="7" t="s">
        <v>20</v>
      </c>
      <c r="K52" s="7" t="s">
        <v>20</v>
      </c>
      <c r="L52" s="7" t="s">
        <v>20</v>
      </c>
      <c r="M52" s="7" t="s">
        <v>20</v>
      </c>
    </row>
    <row r="53" spans="1:13" x14ac:dyDescent="0.25">
      <c r="A53" s="7" t="s">
        <v>55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7" t="s">
        <v>1</v>
      </c>
      <c r="B54" s="6">
        <v>1</v>
      </c>
      <c r="C54" s="6">
        <v>2</v>
      </c>
      <c r="D54" s="6">
        <v>3</v>
      </c>
      <c r="E54" s="6">
        <v>4</v>
      </c>
      <c r="F54" s="6">
        <v>5</v>
      </c>
      <c r="G54" s="6">
        <v>6</v>
      </c>
      <c r="H54" s="6">
        <v>7</v>
      </c>
      <c r="I54" s="6">
        <v>8</v>
      </c>
      <c r="J54" s="6">
        <v>9</v>
      </c>
      <c r="K54" s="6">
        <v>10</v>
      </c>
      <c r="L54" s="6">
        <v>11</v>
      </c>
      <c r="M54" s="6">
        <v>12</v>
      </c>
    </row>
    <row r="55" spans="1:13" x14ac:dyDescent="0.25">
      <c r="A55" s="7" t="s">
        <v>2</v>
      </c>
      <c r="B55" s="6">
        <v>0.13324</v>
      </c>
      <c r="C55" s="6">
        <v>0.18267</v>
      </c>
      <c r="D55" s="6">
        <v>0.17829</v>
      </c>
      <c r="E55" s="6">
        <v>0.12377000000000001</v>
      </c>
      <c r="F55" s="6">
        <v>0.20305999999999999</v>
      </c>
      <c r="G55" s="6">
        <v>8.0161999999999997E-2</v>
      </c>
      <c r="H55" s="7" t="s">
        <v>20</v>
      </c>
      <c r="I55" s="7" t="s">
        <v>20</v>
      </c>
      <c r="J55" s="7" t="s">
        <v>20</v>
      </c>
      <c r="K55" s="7" t="s">
        <v>20</v>
      </c>
      <c r="L55" s="7" t="s">
        <v>20</v>
      </c>
      <c r="M55" s="7" t="s">
        <v>20</v>
      </c>
    </row>
    <row r="56" spans="1:13" x14ac:dyDescent="0.25">
      <c r="A56" s="7" t="s">
        <v>3</v>
      </c>
      <c r="B56" s="6">
        <v>0.1245</v>
      </c>
      <c r="C56" s="6">
        <v>0.12193</v>
      </c>
      <c r="D56" s="6">
        <v>0.15639</v>
      </c>
      <c r="E56" s="6">
        <v>0.12489</v>
      </c>
      <c r="F56" s="6">
        <v>0.11162</v>
      </c>
      <c r="G56" s="7" t="s">
        <v>20</v>
      </c>
      <c r="H56" s="7" t="s">
        <v>20</v>
      </c>
      <c r="I56" s="7" t="s">
        <v>20</v>
      </c>
      <c r="J56" s="7" t="s">
        <v>20</v>
      </c>
      <c r="K56" s="7" t="s">
        <v>20</v>
      </c>
      <c r="L56" s="7" t="s">
        <v>20</v>
      </c>
      <c r="M56" s="7" t="s">
        <v>20</v>
      </c>
    </row>
    <row r="57" spans="1:13" x14ac:dyDescent="0.25">
      <c r="A57" s="7" t="s">
        <v>4</v>
      </c>
      <c r="B57" s="6">
        <v>0.19914000000000001</v>
      </c>
      <c r="C57" s="6">
        <v>0.12330000000000001</v>
      </c>
      <c r="D57" s="6">
        <v>0.32184000000000001</v>
      </c>
      <c r="E57" s="6">
        <v>0.30492000000000002</v>
      </c>
      <c r="F57" s="6">
        <v>0.19381000000000001</v>
      </c>
      <c r="G57" s="7" t="s">
        <v>20</v>
      </c>
      <c r="H57" s="7" t="s">
        <v>20</v>
      </c>
      <c r="I57" s="7" t="s">
        <v>20</v>
      </c>
      <c r="J57" s="7" t="s">
        <v>20</v>
      </c>
      <c r="K57" s="7" t="s">
        <v>20</v>
      </c>
      <c r="L57" s="7" t="s">
        <v>20</v>
      </c>
      <c r="M57" s="7" t="s">
        <v>20</v>
      </c>
    </row>
    <row r="58" spans="1:13" x14ac:dyDescent="0.25">
      <c r="A58" s="7" t="s">
        <v>5</v>
      </c>
      <c r="B58" s="6">
        <v>0.12164999999999999</v>
      </c>
      <c r="C58" s="6">
        <v>0.12847</v>
      </c>
      <c r="D58" s="6">
        <v>0.19833999999999999</v>
      </c>
      <c r="E58" s="6">
        <v>0.18375</v>
      </c>
      <c r="F58" s="6">
        <v>0.12428</v>
      </c>
      <c r="G58" s="7" t="s">
        <v>20</v>
      </c>
      <c r="H58" s="7" t="s">
        <v>20</v>
      </c>
      <c r="I58" s="7" t="s">
        <v>20</v>
      </c>
      <c r="J58" s="7" t="s">
        <v>20</v>
      </c>
      <c r="K58" s="7" t="s">
        <v>20</v>
      </c>
      <c r="L58" s="7" t="s">
        <v>20</v>
      </c>
      <c r="M58" s="7" t="s">
        <v>20</v>
      </c>
    </row>
    <row r="59" spans="1:13" x14ac:dyDescent="0.25">
      <c r="A59" s="7" t="s">
        <v>6</v>
      </c>
      <c r="B59" s="6">
        <v>0.14332</v>
      </c>
      <c r="C59" s="6">
        <v>1.153</v>
      </c>
      <c r="D59" s="6">
        <v>0.17630000000000001</v>
      </c>
      <c r="E59" s="6">
        <v>0.11161</v>
      </c>
      <c r="F59" s="6">
        <v>0.13930999999999999</v>
      </c>
      <c r="G59" s="7" t="s">
        <v>20</v>
      </c>
      <c r="H59" s="7" t="s">
        <v>20</v>
      </c>
      <c r="I59" s="7" t="s">
        <v>20</v>
      </c>
      <c r="J59" s="7" t="s">
        <v>20</v>
      </c>
      <c r="K59" s="7" t="s">
        <v>20</v>
      </c>
      <c r="L59" s="7" t="s">
        <v>20</v>
      </c>
      <c r="M59" s="7" t="s">
        <v>20</v>
      </c>
    </row>
    <row r="60" spans="1:13" x14ac:dyDescent="0.25">
      <c r="A60" s="7" t="s">
        <v>7</v>
      </c>
      <c r="B60" s="6">
        <v>0.12211</v>
      </c>
      <c r="C60" s="6">
        <v>0.32324999999999998</v>
      </c>
      <c r="D60" s="6">
        <v>0.21648999999999999</v>
      </c>
      <c r="E60" s="6">
        <v>0.27645999999999998</v>
      </c>
      <c r="F60" s="6">
        <v>0.16431999999999999</v>
      </c>
      <c r="G60" s="6">
        <v>0.16341</v>
      </c>
      <c r="H60" s="7" t="s">
        <v>20</v>
      </c>
      <c r="I60" s="7" t="s">
        <v>20</v>
      </c>
      <c r="J60" s="7" t="s">
        <v>20</v>
      </c>
      <c r="K60" s="7" t="s">
        <v>20</v>
      </c>
      <c r="L60" s="7" t="s">
        <v>20</v>
      </c>
      <c r="M60" s="7" t="s">
        <v>20</v>
      </c>
    </row>
    <row r="61" spans="1:13" x14ac:dyDescent="0.25">
      <c r="A61" s="7" t="s">
        <v>8</v>
      </c>
      <c r="B61" s="6">
        <v>0.19727</v>
      </c>
      <c r="C61" s="6">
        <v>0.28805999999999998</v>
      </c>
      <c r="D61" s="6">
        <v>0.13983000000000001</v>
      </c>
      <c r="E61" s="6">
        <v>0.12709000000000001</v>
      </c>
      <c r="F61" s="6">
        <v>0.24389</v>
      </c>
      <c r="G61" s="7" t="s">
        <v>20</v>
      </c>
      <c r="H61" s="7" t="s">
        <v>20</v>
      </c>
      <c r="I61" s="7" t="s">
        <v>20</v>
      </c>
      <c r="J61" s="7" t="s">
        <v>20</v>
      </c>
      <c r="K61" s="7" t="s">
        <v>20</v>
      </c>
      <c r="L61" s="7" t="s">
        <v>20</v>
      </c>
      <c r="M61" s="7" t="s">
        <v>20</v>
      </c>
    </row>
    <row r="62" spans="1:13" x14ac:dyDescent="0.25">
      <c r="A62" s="7" t="s">
        <v>9</v>
      </c>
      <c r="B62" s="6">
        <v>0.20401</v>
      </c>
      <c r="C62" s="6">
        <v>0.25019999999999998</v>
      </c>
      <c r="D62" s="6">
        <v>0.10659</v>
      </c>
      <c r="E62" s="6">
        <v>0.17646000000000001</v>
      </c>
      <c r="F62" s="6">
        <v>0.34654000000000001</v>
      </c>
      <c r="G62" s="6">
        <v>3.4262999999999999</v>
      </c>
      <c r="H62" s="7" t="s">
        <v>20</v>
      </c>
      <c r="I62" s="7" t="s">
        <v>20</v>
      </c>
      <c r="J62" s="7" t="s">
        <v>20</v>
      </c>
      <c r="K62" s="7" t="s">
        <v>20</v>
      </c>
      <c r="L62" s="7" t="s">
        <v>20</v>
      </c>
      <c r="M62" s="7" t="s">
        <v>20</v>
      </c>
    </row>
    <row r="63" spans="1:13" x14ac:dyDescent="0.25">
      <c r="A63" s="7" t="s">
        <v>56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7" t="s">
        <v>21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" x14ac:dyDescent="0.25">
      <c r="A65" s="7" t="s">
        <v>22</v>
      </c>
    </row>
    <row r="66" spans="1:1" x14ac:dyDescent="0.25">
      <c r="A66" s="7" t="s">
        <v>57</v>
      </c>
    </row>
    <row r="67" spans="1:1" x14ac:dyDescent="0.25">
      <c r="A67" s="7" t="s">
        <v>58</v>
      </c>
    </row>
    <row r="68" spans="1:1" x14ac:dyDescent="0.25">
      <c r="A68" s="7" t="s">
        <v>23</v>
      </c>
    </row>
    <row r="69" spans="1:1" x14ac:dyDescent="0.25">
      <c r="A69" s="7" t="s">
        <v>24</v>
      </c>
    </row>
    <row r="70" spans="1:1" x14ac:dyDescent="0.25">
      <c r="A70" s="7" t="s">
        <v>25</v>
      </c>
    </row>
    <row r="72" spans="1:1" x14ac:dyDescent="0.25">
      <c r="A72" s="7" t="s">
        <v>26</v>
      </c>
    </row>
    <row r="73" spans="1:1" x14ac:dyDescent="0.25">
      <c r="A73" s="7" t="s">
        <v>27</v>
      </c>
    </row>
    <row r="74" spans="1:1" x14ac:dyDescent="0.25">
      <c r="A74" s="7" t="s">
        <v>28</v>
      </c>
    </row>
    <row r="75" spans="1:1" x14ac:dyDescent="0.25">
      <c r="A75" s="7" t="s">
        <v>29</v>
      </c>
    </row>
    <row r="76" spans="1:1" x14ac:dyDescent="0.25">
      <c r="A76" s="7" t="s">
        <v>30</v>
      </c>
    </row>
    <row r="77" spans="1:1" x14ac:dyDescent="0.25">
      <c r="A77" s="7" t="s">
        <v>31</v>
      </c>
    </row>
    <row r="78" spans="1:1" x14ac:dyDescent="0.25">
      <c r="A78" s="7" t="s">
        <v>32</v>
      </c>
    </row>
    <row r="79" spans="1:1" x14ac:dyDescent="0.25">
      <c r="A79" s="7" t="s">
        <v>33</v>
      </c>
    </row>
    <row r="80" spans="1:1" x14ac:dyDescent="0.25">
      <c r="A80" s="7" t="s">
        <v>34</v>
      </c>
    </row>
    <row r="81" spans="1:1" x14ac:dyDescent="0.25">
      <c r="A81" s="7" t="s">
        <v>35</v>
      </c>
    </row>
    <row r="82" spans="1:1" x14ac:dyDescent="0.25">
      <c r="A82" s="7" t="s">
        <v>36</v>
      </c>
    </row>
    <row r="83" spans="1:1" x14ac:dyDescent="0.25">
      <c r="A83" s="7" t="s">
        <v>37</v>
      </c>
    </row>
    <row r="84" spans="1:1" x14ac:dyDescent="0.25">
      <c r="A84" s="7" t="s">
        <v>38</v>
      </c>
    </row>
    <row r="85" spans="1:1" x14ac:dyDescent="0.25">
      <c r="A85" s="7" t="s">
        <v>39</v>
      </c>
    </row>
    <row r="86" spans="1:1" x14ac:dyDescent="0.25">
      <c r="A86" s="7" t="s">
        <v>59</v>
      </c>
    </row>
  </sheetData>
  <conditionalFormatting sqref="AD5">
    <cfRule type="cellIs" dxfId="95" priority="22" operator="between">
      <formula>2</formula>
      <formula>3</formula>
    </cfRule>
    <cfRule type="cellIs" dxfId="94" priority="23" operator="lessThan">
      <formula>2</formula>
    </cfRule>
    <cfRule type="cellIs" dxfId="93" priority="24" operator="greaterThan">
      <formula>3</formula>
    </cfRule>
  </conditionalFormatting>
  <conditionalFormatting sqref="AD9">
    <cfRule type="cellIs" dxfId="92" priority="20" operator="lessThan">
      <formula>10</formula>
    </cfRule>
    <cfRule type="cellIs" dxfId="91" priority="21" operator="greaterThan">
      <formula>10</formula>
    </cfRule>
  </conditionalFormatting>
  <conditionalFormatting sqref="P5:AA12">
    <cfRule type="cellIs" dxfId="90" priority="17" operator="between">
      <formula>$AD$8</formula>
      <formula>$AD$7</formula>
    </cfRule>
    <cfRule type="cellIs" dxfId="89" priority="18" operator="lessThan">
      <formula>$AD$8</formula>
    </cfRule>
    <cfRule type="cellIs" dxfId="88" priority="19" operator="greaterThan">
      <formula>$AD$7</formula>
    </cfRule>
  </conditionalFormatting>
  <conditionalFormatting sqref="AD15">
    <cfRule type="cellIs" dxfId="87" priority="14" operator="between">
      <formula>2</formula>
      <formula>3</formula>
    </cfRule>
    <cfRule type="cellIs" dxfId="86" priority="15" operator="lessThan">
      <formula>2</formula>
    </cfRule>
    <cfRule type="cellIs" dxfId="85" priority="16" operator="greaterThan">
      <formula>3</formula>
    </cfRule>
  </conditionalFormatting>
  <conditionalFormatting sqref="AD19">
    <cfRule type="cellIs" dxfId="84" priority="12" operator="lessThan">
      <formula>10</formula>
    </cfRule>
    <cfRule type="cellIs" dxfId="83" priority="13" operator="greaterThan">
      <formula>10</formula>
    </cfRule>
  </conditionalFormatting>
  <conditionalFormatting sqref="P15:AA22">
    <cfRule type="cellIs" dxfId="82" priority="9" operator="between">
      <formula>$AD$8</formula>
      <formula>$AD$7</formula>
    </cfRule>
    <cfRule type="cellIs" dxfId="81" priority="10" operator="lessThan">
      <formula>$AD$8</formula>
    </cfRule>
    <cfRule type="cellIs" dxfId="80" priority="11" operator="greaterThan">
      <formula>$AD$7</formula>
    </cfRule>
  </conditionalFormatting>
  <conditionalFormatting sqref="AD25">
    <cfRule type="cellIs" dxfId="79" priority="6" operator="between">
      <formula>2</formula>
      <formula>3</formula>
    </cfRule>
    <cfRule type="cellIs" dxfId="78" priority="7" operator="lessThan">
      <formula>2</formula>
    </cfRule>
    <cfRule type="cellIs" dxfId="77" priority="8" operator="greaterThan">
      <formula>3</formula>
    </cfRule>
  </conditionalFormatting>
  <conditionalFormatting sqref="AD29">
    <cfRule type="cellIs" dxfId="76" priority="4" operator="lessThan">
      <formula>10</formula>
    </cfRule>
    <cfRule type="cellIs" dxfId="75" priority="5" operator="greaterThan">
      <formula>10</formula>
    </cfRule>
  </conditionalFormatting>
  <conditionalFormatting sqref="P25:AA32">
    <cfRule type="cellIs" dxfId="74" priority="1" operator="between">
      <formula>$AD$8</formula>
      <formula>$AD$7</formula>
    </cfRule>
    <cfRule type="cellIs" dxfId="73" priority="2" operator="lessThan">
      <formula>$AD$8</formula>
    </cfRule>
    <cfRule type="cellIs" dxfId="72" priority="3" operator="greaterThan">
      <formula>$AD$7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"/>
  <sheetViews>
    <sheetView workbookViewId="0">
      <selection activeCell="O1" sqref="O1:O1048576"/>
    </sheetView>
  </sheetViews>
  <sheetFormatPr defaultRowHeight="15" x14ac:dyDescent="0.25"/>
  <cols>
    <col min="1" max="13" width="9.140625" style="6"/>
    <col min="15" max="15" width="9.140625" style="8"/>
    <col min="16" max="30" width="9.140625" style="6"/>
  </cols>
  <sheetData>
    <row r="1" spans="1:30" x14ac:dyDescent="0.25">
      <c r="A1" s="7" t="s">
        <v>18</v>
      </c>
      <c r="O1" s="9" t="s">
        <v>11</v>
      </c>
      <c r="R1" s="3" t="s">
        <v>12</v>
      </c>
      <c r="T1" s="4" t="s">
        <v>43</v>
      </c>
      <c r="V1" s="5" t="s">
        <v>13</v>
      </c>
    </row>
    <row r="2" spans="1:30" x14ac:dyDescent="0.25">
      <c r="A2" s="7" t="s">
        <v>19</v>
      </c>
      <c r="O2" s="9"/>
    </row>
    <row r="3" spans="1:30" x14ac:dyDescent="0.25">
      <c r="A3" s="7" t="s">
        <v>0</v>
      </c>
      <c r="O3" s="9" t="s">
        <v>76</v>
      </c>
    </row>
    <row r="4" spans="1:30" x14ac:dyDescent="0.25">
      <c r="A4" s="7" t="s">
        <v>1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O4" s="9" t="s">
        <v>1</v>
      </c>
      <c r="P4" s="6">
        <v>1</v>
      </c>
      <c r="Q4" s="6">
        <v>2</v>
      </c>
      <c r="R4" s="6">
        <v>3</v>
      </c>
      <c r="S4" s="6">
        <v>4</v>
      </c>
      <c r="T4" s="6">
        <v>5</v>
      </c>
      <c r="U4" s="6">
        <v>6</v>
      </c>
      <c r="V4" s="6">
        <v>7</v>
      </c>
      <c r="W4" s="6">
        <v>8</v>
      </c>
      <c r="X4" s="6">
        <v>9</v>
      </c>
      <c r="Y4" s="6">
        <v>10</v>
      </c>
      <c r="Z4" s="6">
        <v>11</v>
      </c>
      <c r="AA4" s="6">
        <v>12</v>
      </c>
      <c r="AC4" s="2" t="s">
        <v>40</v>
      </c>
    </row>
    <row r="5" spans="1:30" x14ac:dyDescent="0.25">
      <c r="A5" s="7" t="s">
        <v>2</v>
      </c>
      <c r="B5" s="6">
        <v>8.5657999999999998E-2</v>
      </c>
      <c r="C5" s="6">
        <v>9.6480999999999997E-2</v>
      </c>
      <c r="D5" s="6">
        <v>7.5513999999999998E-2</v>
      </c>
      <c r="E5" s="6">
        <v>7.2646000000000002E-2</v>
      </c>
      <c r="F5" s="6">
        <v>9.7919000000000006E-2</v>
      </c>
      <c r="G5" s="6">
        <v>5.8403999999999998E-2</v>
      </c>
      <c r="H5" s="6">
        <v>7.0909E-2</v>
      </c>
      <c r="I5" s="6">
        <v>9.7206000000000001E-2</v>
      </c>
      <c r="J5" s="6">
        <v>7.9882999999999996E-2</v>
      </c>
      <c r="K5" s="6">
        <v>6.9390999999999994E-2</v>
      </c>
      <c r="L5" s="6">
        <v>0.17125000000000001</v>
      </c>
      <c r="M5" s="6">
        <v>7.1890999999999997E-2</v>
      </c>
      <c r="O5" s="9" t="s">
        <v>2</v>
      </c>
      <c r="P5" s="6">
        <f>B5</f>
        <v>8.5657999999999998E-2</v>
      </c>
      <c r="Q5" s="6">
        <f t="shared" ref="Q5:AA12" si="0">C5</f>
        <v>9.6480999999999997E-2</v>
      </c>
      <c r="R5" s="6">
        <f t="shared" si="0"/>
        <v>7.5513999999999998E-2</v>
      </c>
      <c r="S5" s="6">
        <f t="shared" si="0"/>
        <v>7.2646000000000002E-2</v>
      </c>
      <c r="T5" s="6">
        <f t="shared" si="0"/>
        <v>9.7919000000000006E-2</v>
      </c>
      <c r="U5" s="6">
        <f t="shared" si="0"/>
        <v>5.8403999999999998E-2</v>
      </c>
      <c r="V5" s="6">
        <f t="shared" si="0"/>
        <v>7.0909E-2</v>
      </c>
      <c r="W5" s="6">
        <f t="shared" si="0"/>
        <v>9.7206000000000001E-2</v>
      </c>
      <c r="X5" s="6">
        <f t="shared" si="0"/>
        <v>7.9882999999999996E-2</v>
      </c>
      <c r="Y5" s="6">
        <f t="shared" si="0"/>
        <v>6.9390999999999994E-2</v>
      </c>
      <c r="Z5" s="6">
        <f t="shared" si="0"/>
        <v>0.17125000000000001</v>
      </c>
      <c r="AA5" s="6">
        <f t="shared" si="0"/>
        <v>7.1890999999999997E-2</v>
      </c>
      <c r="AC5" s="6" t="s">
        <v>12</v>
      </c>
      <c r="AD5" s="6">
        <f>AVERAGE(U11,U12,AA11,AA12)</f>
        <v>2.3209749999999998</v>
      </c>
    </row>
    <row r="6" spans="1:30" x14ac:dyDescent="0.25">
      <c r="A6" s="7" t="s">
        <v>3</v>
      </c>
      <c r="B6" s="6">
        <v>8.2167000000000004E-2</v>
      </c>
      <c r="C6" s="6">
        <v>7.2506000000000001E-2</v>
      </c>
      <c r="D6" s="6">
        <v>7.7134999999999995E-2</v>
      </c>
      <c r="E6" s="6">
        <v>7.2279999999999997E-2</v>
      </c>
      <c r="F6" s="6">
        <v>6.6696000000000005E-2</v>
      </c>
      <c r="G6" s="6">
        <v>5.9261000000000001E-2</v>
      </c>
      <c r="H6" s="6">
        <v>7.0140999999999995E-2</v>
      </c>
      <c r="I6" s="6">
        <v>6.8292000000000005E-2</v>
      </c>
      <c r="J6" s="6">
        <v>8.4191000000000002E-2</v>
      </c>
      <c r="K6" s="6">
        <v>7.8575000000000006E-2</v>
      </c>
      <c r="L6" s="6">
        <v>7.9365000000000005E-2</v>
      </c>
      <c r="M6" s="6">
        <v>5.9153999999999998E-2</v>
      </c>
      <c r="O6" s="9" t="s">
        <v>3</v>
      </c>
      <c r="P6" s="6">
        <f t="shared" ref="P6:P12" si="1">B6</f>
        <v>8.2167000000000004E-2</v>
      </c>
      <c r="Q6" s="6">
        <f t="shared" si="0"/>
        <v>7.2506000000000001E-2</v>
      </c>
      <c r="R6" s="6">
        <f t="shared" si="0"/>
        <v>7.7134999999999995E-2</v>
      </c>
      <c r="S6" s="6">
        <f t="shared" si="0"/>
        <v>7.2279999999999997E-2</v>
      </c>
      <c r="T6" s="6">
        <f t="shared" si="0"/>
        <v>6.6696000000000005E-2</v>
      </c>
      <c r="U6" s="6">
        <f t="shared" si="0"/>
        <v>5.9261000000000001E-2</v>
      </c>
      <c r="V6" s="6">
        <f t="shared" si="0"/>
        <v>7.0140999999999995E-2</v>
      </c>
      <c r="W6" s="6">
        <f t="shared" si="0"/>
        <v>6.8292000000000005E-2</v>
      </c>
      <c r="X6" s="6">
        <f t="shared" si="0"/>
        <v>8.4191000000000002E-2</v>
      </c>
      <c r="Y6" s="6">
        <f t="shared" si="0"/>
        <v>7.8575000000000006E-2</v>
      </c>
      <c r="Z6" s="6">
        <f t="shared" si="0"/>
        <v>7.9365000000000005E-2</v>
      </c>
      <c r="AA6" s="6">
        <f t="shared" si="0"/>
        <v>5.9153999999999998E-2</v>
      </c>
      <c r="AC6" s="6" t="s">
        <v>13</v>
      </c>
      <c r="AD6" s="6">
        <f>AVERAGE(U5,U6,U7,U8,U9,U10,AA5,AA6,AA7,AA8,AA9,AA10,)</f>
        <v>6.0692769230769231E-2</v>
      </c>
    </row>
    <row r="7" spans="1:30" x14ac:dyDescent="0.25">
      <c r="A7" s="7" t="s">
        <v>4</v>
      </c>
      <c r="B7" s="6">
        <v>0.13846</v>
      </c>
      <c r="C7" s="6">
        <v>7.9802999999999999E-2</v>
      </c>
      <c r="D7" s="6">
        <v>8.4221000000000004E-2</v>
      </c>
      <c r="E7" s="6">
        <v>0.14851</v>
      </c>
      <c r="F7" s="6">
        <v>9.3120999999999995E-2</v>
      </c>
      <c r="G7" s="6">
        <v>6.0732000000000001E-2</v>
      </c>
      <c r="H7" s="6">
        <v>0.10826</v>
      </c>
      <c r="I7" s="6">
        <v>7.2799000000000003E-2</v>
      </c>
      <c r="J7" s="6">
        <v>8.4737999999999994E-2</v>
      </c>
      <c r="K7" s="6">
        <v>0.15942000000000001</v>
      </c>
      <c r="L7" s="6">
        <v>8.4448999999999996E-2</v>
      </c>
      <c r="M7" s="6">
        <v>5.8722999999999997E-2</v>
      </c>
      <c r="O7" s="9" t="s">
        <v>4</v>
      </c>
      <c r="P7" s="6">
        <f t="shared" si="1"/>
        <v>0.13846</v>
      </c>
      <c r="Q7" s="6">
        <f t="shared" si="0"/>
        <v>7.9802999999999999E-2</v>
      </c>
      <c r="R7" s="6">
        <f t="shared" si="0"/>
        <v>8.4221000000000004E-2</v>
      </c>
      <c r="S7" s="6">
        <f t="shared" si="0"/>
        <v>0.14851</v>
      </c>
      <c r="T7" s="6">
        <f t="shared" si="0"/>
        <v>9.3120999999999995E-2</v>
      </c>
      <c r="U7" s="6">
        <f t="shared" si="0"/>
        <v>6.0732000000000001E-2</v>
      </c>
      <c r="V7" s="6">
        <f t="shared" si="0"/>
        <v>0.10826</v>
      </c>
      <c r="W7" s="6">
        <f t="shared" si="0"/>
        <v>7.2799000000000003E-2</v>
      </c>
      <c r="X7" s="6">
        <f t="shared" si="0"/>
        <v>8.4737999999999994E-2</v>
      </c>
      <c r="Y7" s="6">
        <f t="shared" si="0"/>
        <v>0.15942000000000001</v>
      </c>
      <c r="Z7" s="6">
        <f t="shared" si="0"/>
        <v>8.4448999999999996E-2</v>
      </c>
      <c r="AA7" s="6">
        <f t="shared" si="0"/>
        <v>5.8722999999999997E-2</v>
      </c>
      <c r="AC7" s="6" t="s">
        <v>14</v>
      </c>
      <c r="AD7" s="6">
        <f>AD6+(0.35*AD5)</f>
        <v>0.87303401923076918</v>
      </c>
    </row>
    <row r="8" spans="1:30" x14ac:dyDescent="0.25">
      <c r="A8" s="7" t="s">
        <v>5</v>
      </c>
      <c r="B8" s="6">
        <v>7.5288999999999995E-2</v>
      </c>
      <c r="C8" s="6">
        <v>9.1468999999999995E-2</v>
      </c>
      <c r="D8" s="6">
        <v>9.7001000000000004E-2</v>
      </c>
      <c r="E8" s="6">
        <v>7.6803999999999997E-2</v>
      </c>
      <c r="F8" s="6">
        <v>7.4004E-2</v>
      </c>
      <c r="G8" s="6">
        <v>5.8611999999999997E-2</v>
      </c>
      <c r="H8" s="6">
        <v>6.7475999999999994E-2</v>
      </c>
      <c r="I8" s="6">
        <v>7.4041999999999997E-2</v>
      </c>
      <c r="J8" s="6">
        <v>8.0507999999999996E-2</v>
      </c>
      <c r="K8" s="6">
        <v>8.0737000000000003E-2</v>
      </c>
      <c r="L8" s="6">
        <v>6.9811999999999999E-2</v>
      </c>
      <c r="M8" s="6">
        <v>6.4957000000000001E-2</v>
      </c>
      <c r="O8" s="9" t="s">
        <v>5</v>
      </c>
      <c r="P8" s="6">
        <f t="shared" si="1"/>
        <v>7.5288999999999995E-2</v>
      </c>
      <c r="Q8" s="6">
        <f t="shared" si="0"/>
        <v>9.1468999999999995E-2</v>
      </c>
      <c r="R8" s="6">
        <f t="shared" si="0"/>
        <v>9.7001000000000004E-2</v>
      </c>
      <c r="S8" s="6">
        <f t="shared" si="0"/>
        <v>7.6803999999999997E-2</v>
      </c>
      <c r="T8" s="6">
        <f t="shared" si="0"/>
        <v>7.4004E-2</v>
      </c>
      <c r="U8" s="6">
        <f t="shared" si="0"/>
        <v>5.8611999999999997E-2</v>
      </c>
      <c r="V8" s="6">
        <f t="shared" si="0"/>
        <v>6.7475999999999994E-2</v>
      </c>
      <c r="W8" s="6">
        <f t="shared" si="0"/>
        <v>7.4041999999999997E-2</v>
      </c>
      <c r="X8" s="6">
        <f t="shared" si="0"/>
        <v>8.0507999999999996E-2</v>
      </c>
      <c r="Y8" s="6">
        <f t="shared" si="0"/>
        <v>8.0737000000000003E-2</v>
      </c>
      <c r="Z8" s="6">
        <f t="shared" si="0"/>
        <v>6.9811999999999999E-2</v>
      </c>
      <c r="AA8" s="6">
        <f t="shared" si="0"/>
        <v>6.4957000000000001E-2</v>
      </c>
      <c r="AC8" s="6" t="s">
        <v>15</v>
      </c>
      <c r="AD8" s="6">
        <f>AD6+(0.25*AD5)</f>
        <v>0.64093651923076922</v>
      </c>
    </row>
    <row r="9" spans="1:30" x14ac:dyDescent="0.25">
      <c r="A9" s="7" t="s">
        <v>6</v>
      </c>
      <c r="B9" s="6">
        <v>7.1228E-2</v>
      </c>
      <c r="C9" s="6">
        <v>0.50539999999999996</v>
      </c>
      <c r="D9" s="6">
        <v>9.2919000000000002E-2</v>
      </c>
      <c r="E9" s="6">
        <v>6.9938E-2</v>
      </c>
      <c r="F9" s="6">
        <v>6.8860000000000005E-2</v>
      </c>
      <c r="G9" s="6">
        <v>5.8758999999999999E-2</v>
      </c>
      <c r="H9" s="6">
        <v>6.6984000000000002E-2</v>
      </c>
      <c r="I9" s="6">
        <v>0.34009</v>
      </c>
      <c r="J9" s="6">
        <v>7.4980000000000005E-2</v>
      </c>
      <c r="K9" s="6">
        <v>7.1159E-2</v>
      </c>
      <c r="L9" s="6">
        <v>6.4283999999999994E-2</v>
      </c>
      <c r="M9" s="6">
        <v>5.9476000000000001E-2</v>
      </c>
      <c r="O9" s="9" t="s">
        <v>6</v>
      </c>
      <c r="P9" s="6">
        <f t="shared" si="1"/>
        <v>7.1228E-2</v>
      </c>
      <c r="Q9" s="6">
        <f t="shared" si="0"/>
        <v>0.50539999999999996</v>
      </c>
      <c r="R9" s="6">
        <f t="shared" si="0"/>
        <v>9.2919000000000002E-2</v>
      </c>
      <c r="S9" s="6">
        <f t="shared" si="0"/>
        <v>6.9938E-2</v>
      </c>
      <c r="T9" s="6">
        <f t="shared" si="0"/>
        <v>6.8860000000000005E-2</v>
      </c>
      <c r="U9" s="6">
        <f t="shared" si="0"/>
        <v>5.8758999999999999E-2</v>
      </c>
      <c r="V9" s="6">
        <f t="shared" si="0"/>
        <v>6.6984000000000002E-2</v>
      </c>
      <c r="W9" s="6">
        <f t="shared" si="0"/>
        <v>0.34009</v>
      </c>
      <c r="X9" s="6">
        <f t="shared" si="0"/>
        <v>7.4980000000000005E-2</v>
      </c>
      <c r="Y9" s="6">
        <f t="shared" si="0"/>
        <v>7.1159E-2</v>
      </c>
      <c r="Z9" s="6">
        <f t="shared" si="0"/>
        <v>6.4283999999999994E-2</v>
      </c>
      <c r="AA9" s="6">
        <f t="shared" si="0"/>
        <v>5.9476000000000001E-2</v>
      </c>
      <c r="AC9" s="6" t="s">
        <v>16</v>
      </c>
      <c r="AD9" s="6">
        <f>AD5/AD6</f>
        <v>38.241375857724776</v>
      </c>
    </row>
    <row r="10" spans="1:30" x14ac:dyDescent="0.25">
      <c r="A10" s="7" t="s">
        <v>7</v>
      </c>
      <c r="B10" s="6">
        <v>8.1920000000000007E-2</v>
      </c>
      <c r="C10" s="6">
        <v>0.13328000000000001</v>
      </c>
      <c r="D10" s="6">
        <v>8.5022E-2</v>
      </c>
      <c r="E10" s="6">
        <v>0.12589</v>
      </c>
      <c r="F10" s="6">
        <v>8.2813999999999999E-2</v>
      </c>
      <c r="G10" s="6">
        <v>8.7857000000000005E-2</v>
      </c>
      <c r="H10" s="6">
        <v>6.8057999999999994E-2</v>
      </c>
      <c r="I10" s="6">
        <v>0.11532000000000001</v>
      </c>
      <c r="J10" s="6">
        <v>7.7123999999999998E-2</v>
      </c>
      <c r="K10" s="6">
        <v>0.14049</v>
      </c>
      <c r="L10" s="6">
        <v>7.4665999999999996E-2</v>
      </c>
      <c r="M10" s="6">
        <v>9.1179999999999997E-2</v>
      </c>
      <c r="O10" s="9" t="s">
        <v>7</v>
      </c>
      <c r="P10" s="6">
        <f t="shared" si="1"/>
        <v>8.1920000000000007E-2</v>
      </c>
      <c r="Q10" s="6">
        <f t="shared" si="0"/>
        <v>0.13328000000000001</v>
      </c>
      <c r="R10" s="6">
        <f t="shared" si="0"/>
        <v>8.5022E-2</v>
      </c>
      <c r="S10" s="6">
        <f t="shared" si="0"/>
        <v>0.12589</v>
      </c>
      <c r="T10" s="6">
        <f t="shared" si="0"/>
        <v>8.2813999999999999E-2</v>
      </c>
      <c r="U10" s="6">
        <f t="shared" si="0"/>
        <v>8.7857000000000005E-2</v>
      </c>
      <c r="V10" s="6">
        <f t="shared" si="0"/>
        <v>6.8057999999999994E-2</v>
      </c>
      <c r="W10" s="6">
        <f t="shared" si="0"/>
        <v>0.11532000000000001</v>
      </c>
      <c r="X10" s="6">
        <f t="shared" si="0"/>
        <v>7.7123999999999998E-2</v>
      </c>
      <c r="Y10" s="6">
        <f t="shared" si="0"/>
        <v>0.14049</v>
      </c>
      <c r="Z10" s="6">
        <f t="shared" si="0"/>
        <v>7.4665999999999996E-2</v>
      </c>
      <c r="AA10" s="6">
        <f t="shared" si="0"/>
        <v>9.1179999999999997E-2</v>
      </c>
    </row>
    <row r="11" spans="1:30" x14ac:dyDescent="0.25">
      <c r="A11" s="7" t="s">
        <v>8</v>
      </c>
      <c r="B11" s="6">
        <v>8.4471000000000004E-2</v>
      </c>
      <c r="C11" s="6">
        <v>8.8972999999999997E-2</v>
      </c>
      <c r="D11" s="6">
        <v>7.0363999999999996E-2</v>
      </c>
      <c r="E11" s="6">
        <v>6.8416000000000005E-2</v>
      </c>
      <c r="F11" s="6">
        <v>9.1442999999999997E-2</v>
      </c>
      <c r="G11" s="6">
        <v>2.3435999999999999</v>
      </c>
      <c r="H11" s="6">
        <v>7.8948000000000004E-2</v>
      </c>
      <c r="I11" s="6">
        <v>8.5482000000000002E-2</v>
      </c>
      <c r="J11" s="6">
        <v>6.5603999999999996E-2</v>
      </c>
      <c r="K11" s="6">
        <v>6.9528000000000006E-2</v>
      </c>
      <c r="L11" s="6">
        <v>8.2709000000000005E-2</v>
      </c>
      <c r="M11" s="6">
        <v>2.3845999999999998</v>
      </c>
      <c r="O11" s="9" t="s">
        <v>8</v>
      </c>
      <c r="P11" s="6">
        <f t="shared" si="1"/>
        <v>8.4471000000000004E-2</v>
      </c>
      <c r="Q11" s="6">
        <f t="shared" si="0"/>
        <v>8.8972999999999997E-2</v>
      </c>
      <c r="R11" s="6">
        <f t="shared" si="0"/>
        <v>7.0363999999999996E-2</v>
      </c>
      <c r="S11" s="6">
        <f t="shared" si="0"/>
        <v>6.8416000000000005E-2</v>
      </c>
      <c r="T11" s="6">
        <f t="shared" si="0"/>
        <v>9.1442999999999997E-2</v>
      </c>
      <c r="U11" s="6">
        <f t="shared" si="0"/>
        <v>2.3435999999999999</v>
      </c>
      <c r="V11" s="6">
        <f t="shared" si="0"/>
        <v>7.8948000000000004E-2</v>
      </c>
      <c r="W11" s="6">
        <f t="shared" si="0"/>
        <v>8.5482000000000002E-2</v>
      </c>
      <c r="X11" s="6">
        <f t="shared" si="0"/>
        <v>6.5603999999999996E-2</v>
      </c>
      <c r="Y11" s="6">
        <f t="shared" si="0"/>
        <v>6.9528000000000006E-2</v>
      </c>
      <c r="Z11" s="6">
        <f t="shared" si="0"/>
        <v>8.2709000000000005E-2</v>
      </c>
      <c r="AA11" s="6">
        <f t="shared" si="0"/>
        <v>2.3845999999999998</v>
      </c>
      <c r="AC11" s="6" t="s">
        <v>17</v>
      </c>
      <c r="AD11" s="6" t="str">
        <f>IF((AND(AD5&gt;2,AD5&lt;3,AD9&gt;10)),"PASS","FAIL")</f>
        <v>PASS</v>
      </c>
    </row>
    <row r="12" spans="1:30" x14ac:dyDescent="0.25">
      <c r="A12" s="7" t="s">
        <v>9</v>
      </c>
      <c r="B12" s="6">
        <v>9.2432E-2</v>
      </c>
      <c r="C12" s="6">
        <v>8.3068000000000003E-2</v>
      </c>
      <c r="D12" s="6">
        <v>5.9076999999999998E-2</v>
      </c>
      <c r="E12" s="6">
        <v>7.3615E-2</v>
      </c>
      <c r="F12" s="6">
        <v>0.14735000000000001</v>
      </c>
      <c r="G12" s="6">
        <v>2.2107999999999999</v>
      </c>
      <c r="H12" s="6">
        <v>7.4609999999999996E-2</v>
      </c>
      <c r="I12" s="6">
        <v>8.0629999999999993E-2</v>
      </c>
      <c r="J12" s="6">
        <v>5.8874000000000003E-2</v>
      </c>
      <c r="K12" s="6">
        <v>7.7900999999999998E-2</v>
      </c>
      <c r="L12" s="6">
        <v>0.10858</v>
      </c>
      <c r="M12" s="6">
        <v>2.3449</v>
      </c>
      <c r="O12" s="9" t="s">
        <v>9</v>
      </c>
      <c r="P12" s="6">
        <f t="shared" si="1"/>
        <v>9.2432E-2</v>
      </c>
      <c r="Q12" s="6">
        <f t="shared" si="0"/>
        <v>8.3068000000000003E-2</v>
      </c>
      <c r="R12" s="6">
        <f t="shared" si="0"/>
        <v>5.9076999999999998E-2</v>
      </c>
      <c r="S12" s="6">
        <f t="shared" si="0"/>
        <v>7.3615E-2</v>
      </c>
      <c r="T12" s="6">
        <f t="shared" si="0"/>
        <v>0.14735000000000001</v>
      </c>
      <c r="U12" s="6">
        <f t="shared" si="0"/>
        <v>2.2107999999999999</v>
      </c>
      <c r="V12" s="6">
        <f t="shared" si="0"/>
        <v>7.4609999999999996E-2</v>
      </c>
      <c r="W12" s="6">
        <f t="shared" si="0"/>
        <v>8.0629999999999993E-2</v>
      </c>
      <c r="X12" s="6">
        <f t="shared" si="0"/>
        <v>5.8874000000000003E-2</v>
      </c>
      <c r="Y12" s="6">
        <f t="shared" si="0"/>
        <v>7.7900999999999998E-2</v>
      </c>
      <c r="Z12" s="6">
        <f t="shared" si="0"/>
        <v>0.10858</v>
      </c>
      <c r="AA12" s="6">
        <f t="shared" si="0"/>
        <v>2.3449</v>
      </c>
    </row>
    <row r="13" spans="1:30" x14ac:dyDescent="0.25">
      <c r="A13" s="7" t="s">
        <v>60</v>
      </c>
      <c r="O13" s="9" t="s">
        <v>77</v>
      </c>
    </row>
    <row r="14" spans="1:30" x14ac:dyDescent="0.25">
      <c r="A14" s="7" t="s">
        <v>1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6">
        <v>11</v>
      </c>
      <c r="M14" s="6">
        <v>12</v>
      </c>
      <c r="O14" s="9" t="s">
        <v>1</v>
      </c>
      <c r="P14" s="6">
        <v>1</v>
      </c>
      <c r="Q14" s="6">
        <v>2</v>
      </c>
      <c r="R14" s="6">
        <v>3</v>
      </c>
      <c r="S14" s="6">
        <v>4</v>
      </c>
      <c r="T14" s="6">
        <v>5</v>
      </c>
      <c r="U14" s="6">
        <v>6</v>
      </c>
      <c r="V14" s="6">
        <v>7</v>
      </c>
      <c r="W14" s="6">
        <v>8</v>
      </c>
      <c r="X14" s="6">
        <v>9</v>
      </c>
      <c r="Y14" s="6">
        <v>10</v>
      </c>
      <c r="Z14" s="6">
        <v>11</v>
      </c>
      <c r="AA14" s="6">
        <v>12</v>
      </c>
      <c r="AC14" s="2" t="s">
        <v>41</v>
      </c>
    </row>
    <row r="15" spans="1:30" x14ac:dyDescent="0.25">
      <c r="A15" s="7" t="s">
        <v>2</v>
      </c>
      <c r="B15" s="6">
        <v>0.11389000000000001</v>
      </c>
      <c r="C15" s="6">
        <v>0.13347000000000001</v>
      </c>
      <c r="D15" s="6">
        <v>9.3076000000000006E-2</v>
      </c>
      <c r="E15" s="6">
        <v>8.8529999999999998E-2</v>
      </c>
      <c r="F15" s="6">
        <v>0.14149</v>
      </c>
      <c r="G15" s="6">
        <v>5.9222999999999998E-2</v>
      </c>
      <c r="H15" s="6">
        <v>8.5834999999999995E-2</v>
      </c>
      <c r="I15" s="6">
        <v>0.13475000000000001</v>
      </c>
      <c r="J15" s="6">
        <v>0.10303</v>
      </c>
      <c r="K15" s="6">
        <v>8.0901000000000001E-2</v>
      </c>
      <c r="L15" s="6">
        <v>0.21843000000000001</v>
      </c>
      <c r="M15" s="6">
        <v>7.1513999999999994E-2</v>
      </c>
      <c r="O15" s="9" t="s">
        <v>2</v>
      </c>
      <c r="P15" s="6">
        <f>B15</f>
        <v>0.11389000000000001</v>
      </c>
      <c r="Q15" s="6">
        <f t="shared" ref="Q15:AA22" si="2">C15</f>
        <v>0.13347000000000001</v>
      </c>
      <c r="R15" s="6">
        <f t="shared" si="2"/>
        <v>9.3076000000000006E-2</v>
      </c>
      <c r="S15" s="6">
        <f t="shared" si="2"/>
        <v>8.8529999999999998E-2</v>
      </c>
      <c r="T15" s="6">
        <f t="shared" si="2"/>
        <v>0.14149</v>
      </c>
      <c r="U15" s="6">
        <f t="shared" si="2"/>
        <v>5.9222999999999998E-2</v>
      </c>
      <c r="V15" s="6">
        <f t="shared" si="2"/>
        <v>8.5834999999999995E-2</v>
      </c>
      <c r="W15" s="6">
        <f t="shared" si="2"/>
        <v>0.13475000000000001</v>
      </c>
      <c r="X15" s="6">
        <f t="shared" si="2"/>
        <v>0.10303</v>
      </c>
      <c r="Y15" s="6">
        <f t="shared" si="2"/>
        <v>8.0901000000000001E-2</v>
      </c>
      <c r="Z15" s="6">
        <f t="shared" si="2"/>
        <v>0.21843000000000001</v>
      </c>
      <c r="AA15" s="6">
        <f t="shared" si="2"/>
        <v>7.1513999999999994E-2</v>
      </c>
      <c r="AC15" s="6" t="s">
        <v>12</v>
      </c>
      <c r="AD15" s="6">
        <f>AVERAGE(U21,U22,AA21,AA22)</f>
        <v>3.069175</v>
      </c>
    </row>
    <row r="16" spans="1:30" x14ac:dyDescent="0.25">
      <c r="A16" s="7" t="s">
        <v>3</v>
      </c>
      <c r="B16" s="6">
        <v>0.10440000000000001</v>
      </c>
      <c r="C16" s="6">
        <v>8.5828000000000002E-2</v>
      </c>
      <c r="D16" s="6">
        <v>9.3657000000000004E-2</v>
      </c>
      <c r="E16" s="6">
        <v>8.6064000000000002E-2</v>
      </c>
      <c r="F16" s="6">
        <v>7.5089000000000003E-2</v>
      </c>
      <c r="G16" s="6">
        <v>5.9334999999999999E-2</v>
      </c>
      <c r="H16" s="6">
        <v>8.0771999999999997E-2</v>
      </c>
      <c r="I16" s="6">
        <v>7.6895000000000005E-2</v>
      </c>
      <c r="J16" s="6">
        <v>9.8789000000000002E-2</v>
      </c>
      <c r="K16" s="6">
        <v>9.2079999999999995E-2</v>
      </c>
      <c r="L16" s="6">
        <v>8.6016999999999996E-2</v>
      </c>
      <c r="M16" s="6">
        <v>5.8338000000000001E-2</v>
      </c>
      <c r="O16" s="9" t="s">
        <v>3</v>
      </c>
      <c r="P16" s="6">
        <f t="shared" ref="P16:P22" si="3">B16</f>
        <v>0.10440000000000001</v>
      </c>
      <c r="Q16" s="6">
        <f t="shared" si="2"/>
        <v>8.5828000000000002E-2</v>
      </c>
      <c r="R16" s="6">
        <f t="shared" si="2"/>
        <v>9.3657000000000004E-2</v>
      </c>
      <c r="S16" s="6">
        <f t="shared" si="2"/>
        <v>8.6064000000000002E-2</v>
      </c>
      <c r="T16" s="6">
        <f t="shared" si="2"/>
        <v>7.5089000000000003E-2</v>
      </c>
      <c r="U16" s="6">
        <f t="shared" si="2"/>
        <v>5.9334999999999999E-2</v>
      </c>
      <c r="V16" s="6">
        <f t="shared" si="2"/>
        <v>8.0771999999999997E-2</v>
      </c>
      <c r="W16" s="6">
        <f t="shared" si="2"/>
        <v>7.6895000000000005E-2</v>
      </c>
      <c r="X16" s="6">
        <f t="shared" si="2"/>
        <v>9.8789000000000002E-2</v>
      </c>
      <c r="Y16" s="6">
        <f t="shared" si="2"/>
        <v>9.2079999999999995E-2</v>
      </c>
      <c r="Z16" s="6">
        <f t="shared" si="2"/>
        <v>8.6016999999999996E-2</v>
      </c>
      <c r="AA16" s="6">
        <f t="shared" si="2"/>
        <v>5.8338000000000001E-2</v>
      </c>
      <c r="AC16" s="6" t="s">
        <v>13</v>
      </c>
      <c r="AD16" s="6">
        <f>AVERAGE(U15,U16,U17,U18,U19,U20,AA15,AA16,AA17,AA18,AA19,AA20,)</f>
        <v>6.4617307692307696E-2</v>
      </c>
    </row>
    <row r="17" spans="1:30" x14ac:dyDescent="0.25">
      <c r="A17" s="7" t="s">
        <v>4</v>
      </c>
      <c r="B17" s="6">
        <v>0.20526</v>
      </c>
      <c r="C17" s="6">
        <v>9.9215999999999999E-2</v>
      </c>
      <c r="D17" s="6">
        <v>0.11089</v>
      </c>
      <c r="E17" s="6">
        <v>0.23326</v>
      </c>
      <c r="F17" s="6">
        <v>0.12536</v>
      </c>
      <c r="G17" s="6">
        <v>6.0909999999999999E-2</v>
      </c>
      <c r="H17" s="6">
        <v>0.15251000000000001</v>
      </c>
      <c r="I17" s="6">
        <v>8.4383E-2</v>
      </c>
      <c r="J17" s="6">
        <v>0.10645</v>
      </c>
      <c r="K17" s="6">
        <v>0.24182999999999999</v>
      </c>
      <c r="L17" s="6">
        <v>0.10602</v>
      </c>
      <c r="M17" s="6">
        <v>5.8543999999999999E-2</v>
      </c>
      <c r="O17" s="9" t="s">
        <v>4</v>
      </c>
      <c r="P17" s="6">
        <f t="shared" si="3"/>
        <v>0.20526</v>
      </c>
      <c r="Q17" s="6">
        <f t="shared" si="2"/>
        <v>9.9215999999999999E-2</v>
      </c>
      <c r="R17" s="6">
        <f t="shared" si="2"/>
        <v>0.11089</v>
      </c>
      <c r="S17" s="6">
        <f t="shared" si="2"/>
        <v>0.23326</v>
      </c>
      <c r="T17" s="6">
        <f t="shared" si="2"/>
        <v>0.12536</v>
      </c>
      <c r="U17" s="6">
        <f t="shared" si="2"/>
        <v>6.0909999999999999E-2</v>
      </c>
      <c r="V17" s="6">
        <f t="shared" si="2"/>
        <v>0.15251000000000001</v>
      </c>
      <c r="W17" s="6">
        <f t="shared" si="2"/>
        <v>8.4383E-2</v>
      </c>
      <c r="X17" s="6">
        <f t="shared" si="2"/>
        <v>0.10645</v>
      </c>
      <c r="Y17" s="6">
        <f t="shared" si="2"/>
        <v>0.24182999999999999</v>
      </c>
      <c r="Z17" s="6">
        <f t="shared" si="2"/>
        <v>0.10602</v>
      </c>
      <c r="AA17" s="6">
        <f t="shared" si="2"/>
        <v>5.8543999999999999E-2</v>
      </c>
      <c r="AC17" s="6" t="s">
        <v>14</v>
      </c>
      <c r="AD17" s="6">
        <f>AD16+(0.35*AD15)</f>
        <v>1.1388285576923076</v>
      </c>
    </row>
    <row r="18" spans="1:30" x14ac:dyDescent="0.25">
      <c r="A18" s="7" t="s">
        <v>5</v>
      </c>
      <c r="B18" s="6">
        <v>8.8877999999999999E-2</v>
      </c>
      <c r="C18" s="6">
        <v>0.1132</v>
      </c>
      <c r="D18" s="6">
        <v>0.12623000000000001</v>
      </c>
      <c r="E18" s="6">
        <v>9.2510999999999996E-2</v>
      </c>
      <c r="F18" s="6">
        <v>8.6862999999999996E-2</v>
      </c>
      <c r="G18" s="6">
        <v>5.8761000000000001E-2</v>
      </c>
      <c r="H18" s="6">
        <v>7.6316999999999996E-2</v>
      </c>
      <c r="I18" s="6">
        <v>8.7871000000000005E-2</v>
      </c>
      <c r="J18" s="6">
        <v>9.9994E-2</v>
      </c>
      <c r="K18" s="6">
        <v>9.2960000000000001E-2</v>
      </c>
      <c r="L18" s="6">
        <v>7.9087000000000005E-2</v>
      </c>
      <c r="M18" s="6">
        <v>6.4546999999999993E-2</v>
      </c>
      <c r="O18" s="9" t="s">
        <v>5</v>
      </c>
      <c r="P18" s="6">
        <f t="shared" si="3"/>
        <v>8.8877999999999999E-2</v>
      </c>
      <c r="Q18" s="6">
        <f t="shared" si="2"/>
        <v>0.1132</v>
      </c>
      <c r="R18" s="6">
        <f t="shared" si="2"/>
        <v>0.12623000000000001</v>
      </c>
      <c r="S18" s="6">
        <f t="shared" si="2"/>
        <v>9.2510999999999996E-2</v>
      </c>
      <c r="T18" s="6">
        <f t="shared" si="2"/>
        <v>8.6862999999999996E-2</v>
      </c>
      <c r="U18" s="6">
        <f t="shared" si="2"/>
        <v>5.8761000000000001E-2</v>
      </c>
      <c r="V18" s="6">
        <f t="shared" si="2"/>
        <v>7.6316999999999996E-2</v>
      </c>
      <c r="W18" s="6">
        <f t="shared" si="2"/>
        <v>8.7871000000000005E-2</v>
      </c>
      <c r="X18" s="6">
        <f t="shared" si="2"/>
        <v>9.9994E-2</v>
      </c>
      <c r="Y18" s="6">
        <f t="shared" si="2"/>
        <v>9.2960000000000001E-2</v>
      </c>
      <c r="Z18" s="6">
        <f t="shared" si="2"/>
        <v>7.9087000000000005E-2</v>
      </c>
      <c r="AA18" s="6">
        <f t="shared" si="2"/>
        <v>6.4546999999999993E-2</v>
      </c>
      <c r="AC18" s="6" t="s">
        <v>15</v>
      </c>
      <c r="AD18" s="6">
        <f>AD16+(0.25*AD15)</f>
        <v>0.83191105769230766</v>
      </c>
    </row>
    <row r="19" spans="1:30" x14ac:dyDescent="0.25">
      <c r="A19" s="7" t="s">
        <v>6</v>
      </c>
      <c r="B19" s="6">
        <v>8.3001000000000005E-2</v>
      </c>
      <c r="C19" s="6">
        <v>0.86473999999999995</v>
      </c>
      <c r="D19" s="6">
        <v>0.11933000000000001</v>
      </c>
      <c r="E19" s="6">
        <v>8.0183000000000004E-2</v>
      </c>
      <c r="F19" s="6">
        <v>7.6913999999999996E-2</v>
      </c>
      <c r="G19" s="6">
        <v>5.8739E-2</v>
      </c>
      <c r="H19" s="6">
        <v>7.6379000000000002E-2</v>
      </c>
      <c r="I19" s="6">
        <v>0.56842000000000004</v>
      </c>
      <c r="J19" s="6">
        <v>8.9535000000000003E-2</v>
      </c>
      <c r="K19" s="6">
        <v>8.2142000000000007E-2</v>
      </c>
      <c r="L19" s="6">
        <v>6.9786000000000001E-2</v>
      </c>
      <c r="M19" s="6">
        <v>5.9434000000000001E-2</v>
      </c>
      <c r="O19" s="9" t="s">
        <v>6</v>
      </c>
      <c r="P19" s="6">
        <f t="shared" si="3"/>
        <v>8.3001000000000005E-2</v>
      </c>
      <c r="Q19" s="6">
        <f t="shared" si="2"/>
        <v>0.86473999999999995</v>
      </c>
      <c r="R19" s="6">
        <f t="shared" si="2"/>
        <v>0.11933000000000001</v>
      </c>
      <c r="S19" s="6">
        <f t="shared" si="2"/>
        <v>8.0183000000000004E-2</v>
      </c>
      <c r="T19" s="6">
        <f t="shared" si="2"/>
        <v>7.6913999999999996E-2</v>
      </c>
      <c r="U19" s="6">
        <f t="shared" si="2"/>
        <v>5.8739E-2</v>
      </c>
      <c r="V19" s="6">
        <f t="shared" si="2"/>
        <v>7.6379000000000002E-2</v>
      </c>
      <c r="W19" s="6">
        <f t="shared" si="2"/>
        <v>0.56842000000000004</v>
      </c>
      <c r="X19" s="6">
        <f t="shared" si="2"/>
        <v>8.9535000000000003E-2</v>
      </c>
      <c r="Y19" s="6">
        <f t="shared" si="2"/>
        <v>8.2142000000000007E-2</v>
      </c>
      <c r="Z19" s="6">
        <f t="shared" si="2"/>
        <v>6.9786000000000001E-2</v>
      </c>
      <c r="AA19" s="6">
        <f t="shared" si="2"/>
        <v>5.9434000000000001E-2</v>
      </c>
      <c r="AC19" s="6" t="s">
        <v>16</v>
      </c>
      <c r="AD19" s="6">
        <f>AD15/AD16</f>
        <v>47.497723282045172</v>
      </c>
    </row>
    <row r="20" spans="1:30" x14ac:dyDescent="0.25">
      <c r="A20" s="7" t="s">
        <v>7</v>
      </c>
      <c r="B20" s="6">
        <v>9.9366999999999997E-2</v>
      </c>
      <c r="C20" s="6">
        <v>0.19821</v>
      </c>
      <c r="D20" s="6">
        <v>0.10866000000000001</v>
      </c>
      <c r="E20" s="6">
        <v>0.17940999999999999</v>
      </c>
      <c r="F20" s="6">
        <v>0.10084</v>
      </c>
      <c r="G20" s="6">
        <v>0.11255999999999999</v>
      </c>
      <c r="H20" s="6">
        <v>7.6761999999999997E-2</v>
      </c>
      <c r="I20" s="6">
        <v>0.16325000000000001</v>
      </c>
      <c r="J20" s="6">
        <v>9.2593999999999996E-2</v>
      </c>
      <c r="K20" s="6">
        <v>0.20683000000000001</v>
      </c>
      <c r="L20" s="6">
        <v>8.7905999999999998E-2</v>
      </c>
      <c r="M20" s="6">
        <v>0.11812</v>
      </c>
      <c r="O20" s="9" t="s">
        <v>7</v>
      </c>
      <c r="P20" s="6">
        <f t="shared" si="3"/>
        <v>9.9366999999999997E-2</v>
      </c>
      <c r="Q20" s="6">
        <f t="shared" si="2"/>
        <v>0.19821</v>
      </c>
      <c r="R20" s="6">
        <f t="shared" si="2"/>
        <v>0.10866000000000001</v>
      </c>
      <c r="S20" s="6">
        <f t="shared" si="2"/>
        <v>0.17940999999999999</v>
      </c>
      <c r="T20" s="6">
        <f t="shared" si="2"/>
        <v>0.10084</v>
      </c>
      <c r="U20" s="6">
        <f t="shared" si="2"/>
        <v>0.11255999999999999</v>
      </c>
      <c r="V20" s="6">
        <f t="shared" si="2"/>
        <v>7.6761999999999997E-2</v>
      </c>
      <c r="W20" s="6">
        <f t="shared" si="2"/>
        <v>0.16325000000000001</v>
      </c>
      <c r="X20" s="6">
        <f t="shared" si="2"/>
        <v>9.2593999999999996E-2</v>
      </c>
      <c r="Y20" s="6">
        <f t="shared" si="2"/>
        <v>0.20683000000000001</v>
      </c>
      <c r="Z20" s="6">
        <f t="shared" si="2"/>
        <v>8.7905999999999998E-2</v>
      </c>
      <c r="AA20" s="6">
        <f t="shared" si="2"/>
        <v>0.11812</v>
      </c>
    </row>
    <row r="21" spans="1:30" x14ac:dyDescent="0.25">
      <c r="A21" s="7" t="s">
        <v>8</v>
      </c>
      <c r="B21" s="6">
        <v>0.10847999999999999</v>
      </c>
      <c r="C21" s="6">
        <v>0.11567</v>
      </c>
      <c r="D21" s="6">
        <v>8.1379000000000007E-2</v>
      </c>
      <c r="E21" s="6">
        <v>7.6394000000000004E-2</v>
      </c>
      <c r="F21" s="6">
        <v>0.11112</v>
      </c>
      <c r="G21" s="6">
        <v>3.1120999999999999</v>
      </c>
      <c r="H21" s="6">
        <v>9.4926999999999997E-2</v>
      </c>
      <c r="I21" s="6">
        <v>0.1069</v>
      </c>
      <c r="J21" s="6">
        <v>7.1262000000000006E-2</v>
      </c>
      <c r="K21" s="6">
        <v>7.7816999999999997E-2</v>
      </c>
      <c r="L21" s="6">
        <v>0.10249999999999999</v>
      </c>
      <c r="M21" s="6">
        <v>3.0950000000000002</v>
      </c>
      <c r="O21" s="9" t="s">
        <v>8</v>
      </c>
      <c r="P21" s="6">
        <f t="shared" si="3"/>
        <v>0.10847999999999999</v>
      </c>
      <c r="Q21" s="6">
        <f t="shared" si="2"/>
        <v>0.11567</v>
      </c>
      <c r="R21" s="6">
        <f t="shared" si="2"/>
        <v>8.1379000000000007E-2</v>
      </c>
      <c r="S21" s="6">
        <f t="shared" si="2"/>
        <v>7.6394000000000004E-2</v>
      </c>
      <c r="T21" s="6">
        <f t="shared" si="2"/>
        <v>0.11112</v>
      </c>
      <c r="U21" s="6">
        <f t="shared" si="2"/>
        <v>3.1120999999999999</v>
      </c>
      <c r="V21" s="6">
        <f t="shared" si="2"/>
        <v>9.4926999999999997E-2</v>
      </c>
      <c r="W21" s="6">
        <f t="shared" si="2"/>
        <v>0.1069</v>
      </c>
      <c r="X21" s="6">
        <f t="shared" si="2"/>
        <v>7.1262000000000006E-2</v>
      </c>
      <c r="Y21" s="6">
        <f t="shared" si="2"/>
        <v>7.7816999999999997E-2</v>
      </c>
      <c r="Z21" s="6">
        <f t="shared" si="2"/>
        <v>0.10249999999999999</v>
      </c>
      <c r="AA21" s="6">
        <f t="shared" si="2"/>
        <v>3.0950000000000002</v>
      </c>
      <c r="AC21" s="6" t="s">
        <v>17</v>
      </c>
      <c r="AD21" s="6" t="str">
        <f>IF((AND(AD15&gt;2,AD15&lt;3,AD19&gt;10)),"PASS","FAIL")</f>
        <v>FAIL</v>
      </c>
    </row>
    <row r="22" spans="1:30" x14ac:dyDescent="0.25">
      <c r="A22" s="7" t="s">
        <v>9</v>
      </c>
      <c r="B22" s="6">
        <v>0.1211</v>
      </c>
      <c r="C22" s="6">
        <v>0.10431</v>
      </c>
      <c r="D22" s="6">
        <v>5.9062000000000003E-2</v>
      </c>
      <c r="E22" s="6">
        <v>8.6659E-2</v>
      </c>
      <c r="F22" s="6">
        <v>0.17438999999999999</v>
      </c>
      <c r="G22" s="6">
        <v>3.0116999999999998</v>
      </c>
      <c r="H22" s="6">
        <v>8.7823999999999999E-2</v>
      </c>
      <c r="I22" s="6">
        <v>9.4671000000000005E-2</v>
      </c>
      <c r="J22" s="6">
        <v>5.9255000000000002E-2</v>
      </c>
      <c r="K22" s="6">
        <v>9.2530000000000001E-2</v>
      </c>
      <c r="L22" s="6">
        <v>0.14767</v>
      </c>
      <c r="M22" s="6">
        <v>3.0579000000000001</v>
      </c>
      <c r="O22" s="9" t="s">
        <v>9</v>
      </c>
      <c r="P22" s="6">
        <f t="shared" si="3"/>
        <v>0.1211</v>
      </c>
      <c r="Q22" s="6">
        <f t="shared" si="2"/>
        <v>0.10431</v>
      </c>
      <c r="R22" s="6">
        <f t="shared" si="2"/>
        <v>5.9062000000000003E-2</v>
      </c>
      <c r="S22" s="6">
        <f t="shared" si="2"/>
        <v>8.6659E-2</v>
      </c>
      <c r="T22" s="6">
        <f t="shared" si="2"/>
        <v>0.17438999999999999</v>
      </c>
      <c r="U22" s="6">
        <f t="shared" si="2"/>
        <v>3.0116999999999998</v>
      </c>
      <c r="V22" s="6">
        <f t="shared" si="2"/>
        <v>8.7823999999999999E-2</v>
      </c>
      <c r="W22" s="6">
        <f t="shared" si="2"/>
        <v>9.4671000000000005E-2</v>
      </c>
      <c r="X22" s="6">
        <f t="shared" si="2"/>
        <v>5.9255000000000002E-2</v>
      </c>
      <c r="Y22" s="6">
        <f t="shared" si="2"/>
        <v>9.2530000000000001E-2</v>
      </c>
      <c r="Z22" s="6">
        <f t="shared" si="2"/>
        <v>0.14767</v>
      </c>
      <c r="AA22" s="6">
        <f t="shared" si="2"/>
        <v>3.0579000000000001</v>
      </c>
    </row>
    <row r="23" spans="1:30" x14ac:dyDescent="0.25">
      <c r="A23" s="7" t="s">
        <v>61</v>
      </c>
      <c r="O23" s="9" t="s">
        <v>78</v>
      </c>
    </row>
    <row r="24" spans="1:30" x14ac:dyDescent="0.25">
      <c r="A24" s="7" t="s">
        <v>1</v>
      </c>
      <c r="B24" s="6">
        <v>1</v>
      </c>
      <c r="C24" s="6">
        <v>2</v>
      </c>
      <c r="D24" s="6">
        <v>3</v>
      </c>
      <c r="E24" s="6">
        <v>4</v>
      </c>
      <c r="F24" s="6">
        <v>5</v>
      </c>
      <c r="G24" s="6">
        <v>6</v>
      </c>
      <c r="H24" s="6">
        <v>7</v>
      </c>
      <c r="I24" s="6">
        <v>8</v>
      </c>
      <c r="J24" s="6">
        <v>9</v>
      </c>
      <c r="K24" s="6">
        <v>10</v>
      </c>
      <c r="L24" s="6">
        <v>11</v>
      </c>
      <c r="M24" s="6">
        <v>12</v>
      </c>
      <c r="O24" s="9" t="s">
        <v>1</v>
      </c>
      <c r="P24" s="6">
        <v>1</v>
      </c>
      <c r="Q24" s="6">
        <v>2</v>
      </c>
      <c r="R24" s="6">
        <v>3</v>
      </c>
      <c r="S24" s="6">
        <v>4</v>
      </c>
      <c r="T24" s="6">
        <v>5</v>
      </c>
      <c r="U24" s="6">
        <v>6</v>
      </c>
      <c r="V24" s="6">
        <v>7</v>
      </c>
      <c r="W24" s="6">
        <v>8</v>
      </c>
      <c r="X24" s="6">
        <v>9</v>
      </c>
      <c r="Y24" s="6">
        <v>10</v>
      </c>
      <c r="Z24" s="6">
        <v>11</v>
      </c>
      <c r="AA24" s="6">
        <v>12</v>
      </c>
      <c r="AC24" s="2" t="s">
        <v>42</v>
      </c>
    </row>
    <row r="25" spans="1:30" x14ac:dyDescent="0.25">
      <c r="A25" s="7" t="s">
        <v>2</v>
      </c>
      <c r="B25" s="6">
        <v>0.14115</v>
      </c>
      <c r="C25" s="6">
        <v>0.17208999999999999</v>
      </c>
      <c r="D25" s="6">
        <v>0.11158999999999999</v>
      </c>
      <c r="E25" s="6">
        <v>0.10408000000000001</v>
      </c>
      <c r="F25" s="6">
        <v>0.18234</v>
      </c>
      <c r="G25" s="6">
        <v>6.0316000000000002E-2</v>
      </c>
      <c r="H25" s="6">
        <v>9.9514000000000005E-2</v>
      </c>
      <c r="I25" s="6">
        <v>0.16986000000000001</v>
      </c>
      <c r="J25" s="6">
        <v>0.12454999999999999</v>
      </c>
      <c r="K25" s="6">
        <v>9.2318999999999998E-2</v>
      </c>
      <c r="L25" s="6">
        <v>0.26596999999999998</v>
      </c>
      <c r="M25" s="6">
        <v>7.2107000000000004E-2</v>
      </c>
      <c r="O25" s="9" t="s">
        <v>2</v>
      </c>
      <c r="P25" s="6">
        <f>B25</f>
        <v>0.14115</v>
      </c>
      <c r="Q25" s="6">
        <f t="shared" ref="Q25:AA32" si="4">C25</f>
        <v>0.17208999999999999</v>
      </c>
      <c r="R25" s="6">
        <f t="shared" si="4"/>
        <v>0.11158999999999999</v>
      </c>
      <c r="S25" s="6">
        <f t="shared" si="4"/>
        <v>0.10408000000000001</v>
      </c>
      <c r="T25" s="6">
        <f t="shared" si="4"/>
        <v>0.18234</v>
      </c>
      <c r="U25" s="6">
        <f t="shared" si="4"/>
        <v>6.0316000000000002E-2</v>
      </c>
      <c r="V25" s="6">
        <f t="shared" si="4"/>
        <v>9.9514000000000005E-2</v>
      </c>
      <c r="W25" s="6">
        <f t="shared" si="4"/>
        <v>0.16986000000000001</v>
      </c>
      <c r="X25" s="6">
        <f t="shared" si="4"/>
        <v>0.12454999999999999</v>
      </c>
      <c r="Y25" s="6">
        <f t="shared" si="4"/>
        <v>9.2318999999999998E-2</v>
      </c>
      <c r="Z25" s="6">
        <f t="shared" si="4"/>
        <v>0.26596999999999998</v>
      </c>
      <c r="AA25" s="6">
        <f t="shared" si="4"/>
        <v>7.2107000000000004E-2</v>
      </c>
      <c r="AC25" s="6" t="s">
        <v>12</v>
      </c>
      <c r="AD25" s="6">
        <f>AVERAGE(U31,U32,AA31,AA32)</f>
        <v>3.3106750000000003</v>
      </c>
    </row>
    <row r="26" spans="1:30" x14ac:dyDescent="0.25">
      <c r="A26" s="7" t="s">
        <v>3</v>
      </c>
      <c r="B26" s="6">
        <v>0.12723000000000001</v>
      </c>
      <c r="C26" s="6">
        <v>0.10016</v>
      </c>
      <c r="D26" s="6">
        <v>0.1109</v>
      </c>
      <c r="E26" s="6">
        <v>0.10113999999999999</v>
      </c>
      <c r="F26" s="6">
        <v>8.4340999999999999E-2</v>
      </c>
      <c r="G26" s="6">
        <v>5.9714999999999997E-2</v>
      </c>
      <c r="H26" s="6">
        <v>9.1081999999999996E-2</v>
      </c>
      <c r="I26" s="6">
        <v>8.6101999999999998E-2</v>
      </c>
      <c r="J26" s="6">
        <v>0.11505</v>
      </c>
      <c r="K26" s="6">
        <v>0.10712000000000001</v>
      </c>
      <c r="L26" s="6">
        <v>9.4773999999999997E-2</v>
      </c>
      <c r="M26" s="6">
        <v>5.8599999999999999E-2</v>
      </c>
      <c r="O26" s="9" t="s">
        <v>3</v>
      </c>
      <c r="P26" s="6">
        <f t="shared" ref="P26:P32" si="5">B26</f>
        <v>0.12723000000000001</v>
      </c>
      <c r="Q26" s="6">
        <f t="shared" si="4"/>
        <v>0.10016</v>
      </c>
      <c r="R26" s="6">
        <f t="shared" si="4"/>
        <v>0.1109</v>
      </c>
      <c r="S26" s="6">
        <f t="shared" si="4"/>
        <v>0.10113999999999999</v>
      </c>
      <c r="T26" s="6">
        <f t="shared" si="4"/>
        <v>8.4340999999999999E-2</v>
      </c>
      <c r="U26" s="6">
        <f t="shared" si="4"/>
        <v>5.9714999999999997E-2</v>
      </c>
      <c r="V26" s="6">
        <f t="shared" si="4"/>
        <v>9.1081999999999996E-2</v>
      </c>
      <c r="W26" s="6">
        <f t="shared" si="4"/>
        <v>8.6101999999999998E-2</v>
      </c>
      <c r="X26" s="6">
        <f t="shared" si="4"/>
        <v>0.11505</v>
      </c>
      <c r="Y26" s="6">
        <f t="shared" si="4"/>
        <v>0.10712000000000001</v>
      </c>
      <c r="Z26" s="6">
        <f t="shared" si="4"/>
        <v>9.4773999999999997E-2</v>
      </c>
      <c r="AA26" s="6">
        <f t="shared" si="4"/>
        <v>5.8599999999999999E-2</v>
      </c>
      <c r="AC26" s="6" t="s">
        <v>13</v>
      </c>
      <c r="AD26" s="6">
        <f>AVERAGE(U25,U26,U27,U28,U29,U30,AA25,AA26,AA27,AA28,AA29,AA30,)</f>
        <v>6.9090769230769219E-2</v>
      </c>
    </row>
    <row r="27" spans="1:30" x14ac:dyDescent="0.25">
      <c r="A27" s="7" t="s">
        <v>4</v>
      </c>
      <c r="B27" s="6">
        <v>0.27329999999999999</v>
      </c>
      <c r="C27" s="6">
        <v>0.11824</v>
      </c>
      <c r="D27" s="6">
        <v>0.13531000000000001</v>
      </c>
      <c r="E27" s="6">
        <v>0.30803999999999998</v>
      </c>
      <c r="F27" s="6">
        <v>0.15604000000000001</v>
      </c>
      <c r="G27" s="6">
        <v>6.1274000000000002E-2</v>
      </c>
      <c r="H27" s="6">
        <v>0.19472</v>
      </c>
      <c r="I27" s="6">
        <v>9.6085000000000004E-2</v>
      </c>
      <c r="J27" s="6">
        <v>0.12764</v>
      </c>
      <c r="K27" s="6">
        <v>0.32161000000000001</v>
      </c>
      <c r="L27" s="6">
        <v>0.12781999999999999</v>
      </c>
      <c r="M27" s="6">
        <v>5.9034999999999997E-2</v>
      </c>
      <c r="O27" s="9" t="s">
        <v>4</v>
      </c>
      <c r="P27" s="6">
        <f t="shared" si="5"/>
        <v>0.27329999999999999</v>
      </c>
      <c r="Q27" s="6">
        <f t="shared" si="4"/>
        <v>0.11824</v>
      </c>
      <c r="R27" s="6">
        <f t="shared" si="4"/>
        <v>0.13531000000000001</v>
      </c>
      <c r="S27" s="6">
        <f t="shared" si="4"/>
        <v>0.30803999999999998</v>
      </c>
      <c r="T27" s="6">
        <f t="shared" si="4"/>
        <v>0.15604000000000001</v>
      </c>
      <c r="U27" s="6">
        <f t="shared" si="4"/>
        <v>6.1274000000000002E-2</v>
      </c>
      <c r="V27" s="6">
        <f t="shared" si="4"/>
        <v>0.19472</v>
      </c>
      <c r="W27" s="6">
        <f t="shared" si="4"/>
        <v>9.6085000000000004E-2</v>
      </c>
      <c r="X27" s="6">
        <f t="shared" si="4"/>
        <v>0.12764</v>
      </c>
      <c r="Y27" s="6">
        <f t="shared" si="4"/>
        <v>0.32161000000000001</v>
      </c>
      <c r="Z27" s="6">
        <f t="shared" si="4"/>
        <v>0.12781999999999999</v>
      </c>
      <c r="AA27" s="6">
        <f t="shared" si="4"/>
        <v>5.9034999999999997E-2</v>
      </c>
      <c r="AC27" s="6" t="s">
        <v>14</v>
      </c>
      <c r="AD27" s="6">
        <f>AD26+(0.35*AD25)</f>
        <v>1.2278270192307692</v>
      </c>
    </row>
    <row r="28" spans="1:30" x14ac:dyDescent="0.25">
      <c r="A28" s="7" t="s">
        <v>5</v>
      </c>
      <c r="B28" s="6">
        <v>0.10382</v>
      </c>
      <c r="C28" s="6">
        <v>0.13546</v>
      </c>
      <c r="D28" s="6">
        <v>0.15592</v>
      </c>
      <c r="E28" s="6">
        <v>0.10811999999999999</v>
      </c>
      <c r="F28" s="6">
        <v>9.9773000000000001E-2</v>
      </c>
      <c r="G28" s="6">
        <v>5.9228999999999997E-2</v>
      </c>
      <c r="H28" s="6">
        <v>8.5552000000000003E-2</v>
      </c>
      <c r="I28" s="6">
        <v>0.10195</v>
      </c>
      <c r="J28" s="6">
        <v>0.11965000000000001</v>
      </c>
      <c r="K28" s="6">
        <v>0.10566</v>
      </c>
      <c r="L28" s="6">
        <v>8.8682999999999998E-2</v>
      </c>
      <c r="M28" s="6">
        <v>6.5726999999999994E-2</v>
      </c>
      <c r="O28" s="9" t="s">
        <v>5</v>
      </c>
      <c r="P28" s="6">
        <f t="shared" si="5"/>
        <v>0.10382</v>
      </c>
      <c r="Q28" s="6">
        <f t="shared" si="4"/>
        <v>0.13546</v>
      </c>
      <c r="R28" s="6">
        <f t="shared" si="4"/>
        <v>0.15592</v>
      </c>
      <c r="S28" s="6">
        <f t="shared" si="4"/>
        <v>0.10811999999999999</v>
      </c>
      <c r="T28" s="6">
        <f t="shared" si="4"/>
        <v>9.9773000000000001E-2</v>
      </c>
      <c r="U28" s="6">
        <f t="shared" si="4"/>
        <v>5.9228999999999997E-2</v>
      </c>
      <c r="V28" s="6">
        <f t="shared" si="4"/>
        <v>8.5552000000000003E-2</v>
      </c>
      <c r="W28" s="6">
        <f t="shared" si="4"/>
        <v>0.10195</v>
      </c>
      <c r="X28" s="6">
        <f t="shared" si="4"/>
        <v>0.11965000000000001</v>
      </c>
      <c r="Y28" s="6">
        <f t="shared" si="4"/>
        <v>0.10566</v>
      </c>
      <c r="Z28" s="6">
        <f t="shared" si="4"/>
        <v>8.8682999999999998E-2</v>
      </c>
      <c r="AA28" s="6">
        <f t="shared" si="4"/>
        <v>6.5726999999999994E-2</v>
      </c>
      <c r="AC28" s="6" t="s">
        <v>15</v>
      </c>
      <c r="AD28" s="6">
        <f>AD26+(0.25*AD25)</f>
        <v>0.89675951923076924</v>
      </c>
    </row>
    <row r="29" spans="1:30" x14ac:dyDescent="0.25">
      <c r="A29" s="7" t="s">
        <v>6</v>
      </c>
      <c r="B29" s="6">
        <v>9.5256999999999994E-2</v>
      </c>
      <c r="C29" s="6">
        <v>1.1771</v>
      </c>
      <c r="D29" s="6">
        <v>0.14504</v>
      </c>
      <c r="E29" s="6">
        <v>8.9770000000000003E-2</v>
      </c>
      <c r="F29" s="6">
        <v>8.5487999999999995E-2</v>
      </c>
      <c r="G29" s="6">
        <v>5.9004000000000001E-2</v>
      </c>
      <c r="H29" s="6">
        <v>8.5510000000000003E-2</v>
      </c>
      <c r="I29" s="6">
        <v>0.77703999999999995</v>
      </c>
      <c r="J29" s="6">
        <v>0.10395</v>
      </c>
      <c r="K29" s="6">
        <v>9.3546000000000004E-2</v>
      </c>
      <c r="L29" s="6">
        <v>7.5981000000000007E-2</v>
      </c>
      <c r="M29" s="6">
        <v>6.0742999999999998E-2</v>
      </c>
      <c r="O29" s="9" t="s">
        <v>6</v>
      </c>
      <c r="P29" s="6">
        <f t="shared" si="5"/>
        <v>9.5256999999999994E-2</v>
      </c>
      <c r="Q29" s="6">
        <f t="shared" si="4"/>
        <v>1.1771</v>
      </c>
      <c r="R29" s="6">
        <f t="shared" si="4"/>
        <v>0.14504</v>
      </c>
      <c r="S29" s="6">
        <f t="shared" si="4"/>
        <v>8.9770000000000003E-2</v>
      </c>
      <c r="T29" s="6">
        <f t="shared" si="4"/>
        <v>8.5487999999999995E-2</v>
      </c>
      <c r="U29" s="6">
        <f t="shared" si="4"/>
        <v>5.9004000000000001E-2</v>
      </c>
      <c r="V29" s="6">
        <f t="shared" si="4"/>
        <v>8.5510000000000003E-2</v>
      </c>
      <c r="W29" s="6">
        <f t="shared" si="4"/>
        <v>0.77703999999999995</v>
      </c>
      <c r="X29" s="6">
        <f t="shared" si="4"/>
        <v>0.10395</v>
      </c>
      <c r="Y29" s="6">
        <f t="shared" si="4"/>
        <v>9.3546000000000004E-2</v>
      </c>
      <c r="Z29" s="6">
        <f t="shared" si="4"/>
        <v>7.5981000000000007E-2</v>
      </c>
      <c r="AA29" s="6">
        <f t="shared" si="4"/>
        <v>6.0742999999999998E-2</v>
      </c>
      <c r="AC29" s="6" t="s">
        <v>16</v>
      </c>
      <c r="AD29" s="6">
        <f>AD25/AD26</f>
        <v>47.917761473201374</v>
      </c>
    </row>
    <row r="30" spans="1:30" x14ac:dyDescent="0.25">
      <c r="A30" s="7" t="s">
        <v>7</v>
      </c>
      <c r="B30" s="6">
        <v>0.11935999999999999</v>
      </c>
      <c r="C30" s="6">
        <v>0.26318000000000003</v>
      </c>
      <c r="D30" s="6">
        <v>0.13300000000000001</v>
      </c>
      <c r="E30" s="6">
        <v>0.23229</v>
      </c>
      <c r="F30" s="6">
        <v>0.11914</v>
      </c>
      <c r="G30" s="6">
        <v>0.13721</v>
      </c>
      <c r="H30" s="6">
        <v>8.5777999999999993E-2</v>
      </c>
      <c r="I30" s="6">
        <v>0.2104</v>
      </c>
      <c r="J30" s="6">
        <v>0.10829</v>
      </c>
      <c r="K30" s="6">
        <v>0.27267000000000002</v>
      </c>
      <c r="L30" s="6">
        <v>0.10184</v>
      </c>
      <c r="M30" s="6">
        <v>0.14521999999999999</v>
      </c>
      <c r="O30" s="9" t="s">
        <v>7</v>
      </c>
      <c r="P30" s="6">
        <f t="shared" si="5"/>
        <v>0.11935999999999999</v>
      </c>
      <c r="Q30" s="6">
        <f t="shared" si="4"/>
        <v>0.26318000000000003</v>
      </c>
      <c r="R30" s="6">
        <f t="shared" si="4"/>
        <v>0.13300000000000001</v>
      </c>
      <c r="S30" s="6">
        <f t="shared" si="4"/>
        <v>0.23229</v>
      </c>
      <c r="T30" s="6">
        <f t="shared" si="4"/>
        <v>0.11914</v>
      </c>
      <c r="U30" s="6">
        <f t="shared" si="4"/>
        <v>0.13721</v>
      </c>
      <c r="V30" s="6">
        <f t="shared" si="4"/>
        <v>8.5777999999999993E-2</v>
      </c>
      <c r="W30" s="6">
        <f t="shared" si="4"/>
        <v>0.2104</v>
      </c>
      <c r="X30" s="6">
        <f t="shared" si="4"/>
        <v>0.10829</v>
      </c>
      <c r="Y30" s="6">
        <f t="shared" si="4"/>
        <v>0.27267000000000002</v>
      </c>
      <c r="Z30" s="6">
        <f t="shared" si="4"/>
        <v>0.10184</v>
      </c>
      <c r="AA30" s="6">
        <f t="shared" si="4"/>
        <v>0.14521999999999999</v>
      </c>
    </row>
    <row r="31" spans="1:30" x14ac:dyDescent="0.25">
      <c r="A31" s="7" t="s">
        <v>8</v>
      </c>
      <c r="B31" s="6">
        <v>0.13266</v>
      </c>
      <c r="C31" s="6">
        <v>0.14227000000000001</v>
      </c>
      <c r="D31" s="6">
        <v>9.0759999999999993E-2</v>
      </c>
      <c r="E31" s="6">
        <v>8.4533999999999998E-2</v>
      </c>
      <c r="F31" s="6">
        <v>0.13131999999999999</v>
      </c>
      <c r="G31" s="6">
        <v>3.3405</v>
      </c>
      <c r="H31" s="6">
        <v>0.11149000000000001</v>
      </c>
      <c r="I31" s="6">
        <v>0.12794</v>
      </c>
      <c r="J31" s="6">
        <v>7.7434000000000003E-2</v>
      </c>
      <c r="K31" s="6">
        <v>8.6392999999999998E-2</v>
      </c>
      <c r="L31" s="6">
        <v>0.12225</v>
      </c>
      <c r="M31" s="6">
        <v>3.3165</v>
      </c>
      <c r="O31" s="9" t="s">
        <v>8</v>
      </c>
      <c r="P31" s="6">
        <f t="shared" si="5"/>
        <v>0.13266</v>
      </c>
      <c r="Q31" s="6">
        <f t="shared" si="4"/>
        <v>0.14227000000000001</v>
      </c>
      <c r="R31" s="6">
        <f t="shared" si="4"/>
        <v>9.0759999999999993E-2</v>
      </c>
      <c r="S31" s="6">
        <f t="shared" si="4"/>
        <v>8.4533999999999998E-2</v>
      </c>
      <c r="T31" s="6">
        <f t="shared" si="4"/>
        <v>0.13131999999999999</v>
      </c>
      <c r="U31" s="6">
        <f t="shared" si="4"/>
        <v>3.3405</v>
      </c>
      <c r="V31" s="6">
        <f t="shared" si="4"/>
        <v>0.11149000000000001</v>
      </c>
      <c r="W31" s="6">
        <f t="shared" si="4"/>
        <v>0.12794</v>
      </c>
      <c r="X31" s="6">
        <f t="shared" si="4"/>
        <v>7.7434000000000003E-2</v>
      </c>
      <c r="Y31" s="6">
        <f t="shared" si="4"/>
        <v>8.6392999999999998E-2</v>
      </c>
      <c r="Z31" s="6">
        <f t="shared" si="4"/>
        <v>0.12225</v>
      </c>
      <c r="AA31" s="6">
        <f t="shared" si="4"/>
        <v>3.3165</v>
      </c>
      <c r="AC31" s="6" t="s">
        <v>17</v>
      </c>
      <c r="AD31" s="6" t="str">
        <f>IF((AND(AD25&gt;2,AD25&lt;3,AD29&gt;10)),"PASS","FAIL")</f>
        <v>FAIL</v>
      </c>
    </row>
    <row r="32" spans="1:30" x14ac:dyDescent="0.25">
      <c r="A32" s="7" t="s">
        <v>9</v>
      </c>
      <c r="B32" s="6">
        <v>0.15187</v>
      </c>
      <c r="C32" s="6">
        <v>0.12631000000000001</v>
      </c>
      <c r="D32" s="6">
        <v>5.9617999999999997E-2</v>
      </c>
      <c r="E32" s="6">
        <v>0.10026</v>
      </c>
      <c r="F32" s="6">
        <v>0.20365</v>
      </c>
      <c r="G32" s="6">
        <v>3.2917000000000001</v>
      </c>
      <c r="H32" s="6">
        <v>0.10158</v>
      </c>
      <c r="I32" s="6">
        <v>0.10959000000000001</v>
      </c>
      <c r="J32" s="6">
        <v>5.9908999999999997E-2</v>
      </c>
      <c r="K32" s="6">
        <v>0.10739</v>
      </c>
      <c r="L32" s="6">
        <v>0.18662999999999999</v>
      </c>
      <c r="M32" s="6">
        <v>3.294</v>
      </c>
      <c r="O32" s="9" t="s">
        <v>9</v>
      </c>
      <c r="P32" s="6">
        <f t="shared" si="5"/>
        <v>0.15187</v>
      </c>
      <c r="Q32" s="6">
        <f t="shared" si="4"/>
        <v>0.12631000000000001</v>
      </c>
      <c r="R32" s="6">
        <f t="shared" si="4"/>
        <v>5.9617999999999997E-2</v>
      </c>
      <c r="S32" s="6">
        <f t="shared" si="4"/>
        <v>0.10026</v>
      </c>
      <c r="T32" s="6">
        <f t="shared" si="4"/>
        <v>0.20365</v>
      </c>
      <c r="U32" s="6">
        <f t="shared" si="4"/>
        <v>3.2917000000000001</v>
      </c>
      <c r="V32" s="6">
        <f t="shared" si="4"/>
        <v>0.10158</v>
      </c>
      <c r="W32" s="6">
        <f t="shared" si="4"/>
        <v>0.10959000000000001</v>
      </c>
      <c r="X32" s="6">
        <f t="shared" si="4"/>
        <v>5.9908999999999997E-2</v>
      </c>
      <c r="Y32" s="6">
        <f t="shared" si="4"/>
        <v>0.10739</v>
      </c>
      <c r="Z32" s="6">
        <f t="shared" si="4"/>
        <v>0.18662999999999999</v>
      </c>
      <c r="AA32" s="6">
        <f t="shared" si="4"/>
        <v>3.294</v>
      </c>
    </row>
    <row r="33" spans="1:13" x14ac:dyDescent="0.25">
      <c r="A33" s="7" t="s">
        <v>10</v>
      </c>
    </row>
    <row r="34" spans="1:13" x14ac:dyDescent="0.25">
      <c r="A34" s="7" t="s">
        <v>1</v>
      </c>
      <c r="B34" s="6">
        <v>1</v>
      </c>
      <c r="C34" s="6">
        <v>2</v>
      </c>
      <c r="D34" s="6">
        <v>3</v>
      </c>
      <c r="E34" s="6">
        <v>4</v>
      </c>
      <c r="F34" s="6">
        <v>5</v>
      </c>
      <c r="G34" s="6">
        <v>6</v>
      </c>
      <c r="H34" s="6">
        <v>7</v>
      </c>
      <c r="I34" s="6">
        <v>8</v>
      </c>
      <c r="J34" s="6">
        <v>9</v>
      </c>
      <c r="K34" s="6">
        <v>10</v>
      </c>
      <c r="L34" s="6">
        <v>11</v>
      </c>
      <c r="M34" s="6">
        <v>12</v>
      </c>
    </row>
    <row r="35" spans="1:13" x14ac:dyDescent="0.25">
      <c r="A35" s="7" t="s">
        <v>2</v>
      </c>
      <c r="B35" s="6">
        <v>7.8283000000000005E-2</v>
      </c>
      <c r="C35" s="6">
        <v>9.6842999999999999E-2</v>
      </c>
      <c r="D35" s="6">
        <v>7.7699000000000004E-2</v>
      </c>
      <c r="E35" s="6">
        <v>7.1018999999999999E-2</v>
      </c>
      <c r="F35" s="6">
        <v>0.13458000000000001</v>
      </c>
      <c r="G35" s="6">
        <v>6.0997000000000003E-2</v>
      </c>
      <c r="H35" s="7" t="s">
        <v>20</v>
      </c>
      <c r="I35" s="7" t="s">
        <v>20</v>
      </c>
      <c r="J35" s="7" t="s">
        <v>20</v>
      </c>
      <c r="K35" s="7" t="s">
        <v>20</v>
      </c>
      <c r="L35" s="7" t="s">
        <v>20</v>
      </c>
      <c r="M35" s="7" t="s">
        <v>20</v>
      </c>
    </row>
    <row r="36" spans="1:13" x14ac:dyDescent="0.25">
      <c r="A36" s="7" t="s">
        <v>3</v>
      </c>
      <c r="B36" s="6">
        <v>7.6153999999999999E-2</v>
      </c>
      <c r="C36" s="6">
        <v>7.0399000000000003E-2</v>
      </c>
      <c r="D36" s="6">
        <v>8.0662999999999999E-2</v>
      </c>
      <c r="E36" s="6">
        <v>7.5426999999999994E-2</v>
      </c>
      <c r="F36" s="6">
        <v>7.3030999999999999E-2</v>
      </c>
      <c r="G36" s="7" t="s">
        <v>20</v>
      </c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  <c r="M36" s="7" t="s">
        <v>20</v>
      </c>
    </row>
    <row r="37" spans="1:13" x14ac:dyDescent="0.25">
      <c r="A37" s="7" t="s">
        <v>4</v>
      </c>
      <c r="B37" s="6">
        <v>0.12336</v>
      </c>
      <c r="C37" s="6">
        <v>7.6300999999999994E-2</v>
      </c>
      <c r="D37" s="6">
        <v>8.448E-2</v>
      </c>
      <c r="E37" s="6">
        <v>0.15396000000000001</v>
      </c>
      <c r="F37" s="6">
        <v>8.8785000000000003E-2</v>
      </c>
      <c r="G37" s="7" t="s">
        <v>20</v>
      </c>
      <c r="H37" s="7" t="s">
        <v>20</v>
      </c>
      <c r="I37" s="7" t="s">
        <v>20</v>
      </c>
      <c r="J37" s="7" t="s">
        <v>20</v>
      </c>
      <c r="K37" s="7" t="s">
        <v>20</v>
      </c>
      <c r="L37" s="7" t="s">
        <v>20</v>
      </c>
      <c r="M37" s="7" t="s">
        <v>20</v>
      </c>
    </row>
    <row r="38" spans="1:13" x14ac:dyDescent="0.25">
      <c r="A38" s="7" t="s">
        <v>5</v>
      </c>
      <c r="B38" s="6">
        <v>7.1383000000000002E-2</v>
      </c>
      <c r="C38" s="6">
        <v>8.2754999999999995E-2</v>
      </c>
      <c r="D38" s="6">
        <v>8.8755000000000001E-2</v>
      </c>
      <c r="E38" s="6">
        <v>7.8770999999999994E-2</v>
      </c>
      <c r="F38" s="6">
        <v>7.1908E-2</v>
      </c>
      <c r="G38" s="7" t="s">
        <v>20</v>
      </c>
      <c r="H38" s="7" t="s">
        <v>20</v>
      </c>
      <c r="I38" s="7" t="s">
        <v>20</v>
      </c>
      <c r="J38" s="7" t="s">
        <v>20</v>
      </c>
      <c r="K38" s="7" t="s">
        <v>20</v>
      </c>
      <c r="L38" s="7" t="s">
        <v>20</v>
      </c>
      <c r="M38" s="7" t="s">
        <v>20</v>
      </c>
    </row>
    <row r="39" spans="1:13" x14ac:dyDescent="0.25">
      <c r="A39" s="7" t="s">
        <v>6</v>
      </c>
      <c r="B39" s="6">
        <v>6.9106000000000001E-2</v>
      </c>
      <c r="C39" s="6">
        <v>0.42275000000000001</v>
      </c>
      <c r="D39" s="6">
        <v>8.3948999999999996E-2</v>
      </c>
      <c r="E39" s="6">
        <v>7.0549000000000001E-2</v>
      </c>
      <c r="F39" s="6">
        <v>6.6572000000000006E-2</v>
      </c>
      <c r="G39" s="7" t="s">
        <v>20</v>
      </c>
      <c r="H39" s="7" t="s">
        <v>20</v>
      </c>
      <c r="I39" s="7" t="s">
        <v>20</v>
      </c>
      <c r="J39" s="7" t="s">
        <v>20</v>
      </c>
      <c r="K39" s="7" t="s">
        <v>20</v>
      </c>
      <c r="L39" s="7" t="s">
        <v>20</v>
      </c>
      <c r="M39" s="7" t="s">
        <v>20</v>
      </c>
    </row>
    <row r="40" spans="1:13" x14ac:dyDescent="0.25">
      <c r="A40" s="7" t="s">
        <v>7</v>
      </c>
      <c r="B40" s="6">
        <v>7.4989E-2</v>
      </c>
      <c r="C40" s="6">
        <v>0.12429999999999999</v>
      </c>
      <c r="D40" s="6">
        <v>8.1073000000000006E-2</v>
      </c>
      <c r="E40" s="6">
        <v>0.13319</v>
      </c>
      <c r="F40" s="6">
        <v>7.8740000000000004E-2</v>
      </c>
      <c r="G40" s="6">
        <v>8.9519000000000001E-2</v>
      </c>
      <c r="H40" s="7" t="s">
        <v>20</v>
      </c>
      <c r="I40" s="7" t="s">
        <v>20</v>
      </c>
      <c r="J40" s="7" t="s">
        <v>20</v>
      </c>
      <c r="K40" s="7" t="s">
        <v>20</v>
      </c>
      <c r="L40" s="7" t="s">
        <v>20</v>
      </c>
      <c r="M40" s="7" t="s">
        <v>20</v>
      </c>
    </row>
    <row r="41" spans="1:13" x14ac:dyDescent="0.25">
      <c r="A41" s="7" t="s">
        <v>8</v>
      </c>
      <c r="B41" s="6">
        <v>8.1710000000000005E-2</v>
      </c>
      <c r="C41" s="6">
        <v>8.7228E-2</v>
      </c>
      <c r="D41" s="6">
        <v>6.7984000000000003E-2</v>
      </c>
      <c r="E41" s="6">
        <v>6.8972000000000006E-2</v>
      </c>
      <c r="F41" s="6">
        <v>8.7076000000000001E-2</v>
      </c>
      <c r="G41" s="7" t="s">
        <v>20</v>
      </c>
      <c r="H41" s="7" t="s">
        <v>20</v>
      </c>
      <c r="I41" s="7" t="s">
        <v>20</v>
      </c>
      <c r="J41" s="7" t="s">
        <v>20</v>
      </c>
      <c r="K41" s="7" t="s">
        <v>20</v>
      </c>
      <c r="L41" s="7" t="s">
        <v>20</v>
      </c>
      <c r="M41" s="7" t="s">
        <v>20</v>
      </c>
    </row>
    <row r="42" spans="1:13" x14ac:dyDescent="0.25">
      <c r="A42" s="7" t="s">
        <v>9</v>
      </c>
      <c r="B42" s="6">
        <v>8.3520999999999998E-2</v>
      </c>
      <c r="C42" s="6">
        <v>8.1849000000000005E-2</v>
      </c>
      <c r="D42" s="6">
        <v>5.8975E-2</v>
      </c>
      <c r="E42" s="6">
        <v>7.5758000000000006E-2</v>
      </c>
      <c r="F42" s="6">
        <v>0.12795999999999999</v>
      </c>
      <c r="G42" s="6">
        <v>2.3210000000000002</v>
      </c>
      <c r="H42" s="7" t="s">
        <v>20</v>
      </c>
      <c r="I42" s="7" t="s">
        <v>20</v>
      </c>
      <c r="J42" s="7" t="s">
        <v>20</v>
      </c>
      <c r="K42" s="7" t="s">
        <v>20</v>
      </c>
      <c r="L42" s="7" t="s">
        <v>20</v>
      </c>
      <c r="M42" s="7" t="s">
        <v>20</v>
      </c>
    </row>
    <row r="43" spans="1:13" x14ac:dyDescent="0.25">
      <c r="A43" s="7" t="s">
        <v>62</v>
      </c>
    </row>
    <row r="44" spans="1:13" x14ac:dyDescent="0.25">
      <c r="A44" s="7" t="s">
        <v>1</v>
      </c>
      <c r="B44" s="6">
        <v>1</v>
      </c>
      <c r="C44" s="6">
        <v>2</v>
      </c>
      <c r="D44" s="6">
        <v>3</v>
      </c>
      <c r="E44" s="6">
        <v>4</v>
      </c>
      <c r="F44" s="6">
        <v>5</v>
      </c>
      <c r="G44" s="6">
        <v>6</v>
      </c>
      <c r="H44" s="6">
        <v>7</v>
      </c>
      <c r="I44" s="6">
        <v>8</v>
      </c>
      <c r="J44" s="6">
        <v>9</v>
      </c>
      <c r="K44" s="6">
        <v>10</v>
      </c>
      <c r="L44" s="6">
        <v>11</v>
      </c>
      <c r="M44" s="6">
        <v>12</v>
      </c>
    </row>
    <row r="45" spans="1:13" x14ac:dyDescent="0.25">
      <c r="A45" s="7" t="s">
        <v>2</v>
      </c>
      <c r="B45" s="6">
        <v>9.9862999999999993E-2</v>
      </c>
      <c r="C45" s="6">
        <v>0.13411000000000001</v>
      </c>
      <c r="D45" s="6">
        <v>9.8052E-2</v>
      </c>
      <c r="E45" s="6">
        <v>8.4714999999999999E-2</v>
      </c>
      <c r="F45" s="6">
        <v>0.17996000000000001</v>
      </c>
      <c r="G45" s="6">
        <v>6.0935000000000003E-2</v>
      </c>
      <c r="H45" s="7" t="s">
        <v>20</v>
      </c>
      <c r="I45" s="7" t="s">
        <v>20</v>
      </c>
      <c r="J45" s="7" t="s">
        <v>20</v>
      </c>
      <c r="K45" s="7" t="s">
        <v>20</v>
      </c>
      <c r="L45" s="7" t="s">
        <v>20</v>
      </c>
      <c r="M45" s="7" t="s">
        <v>20</v>
      </c>
    </row>
    <row r="46" spans="1:13" x14ac:dyDescent="0.25">
      <c r="A46" s="7" t="s">
        <v>3</v>
      </c>
      <c r="B46" s="6">
        <v>9.2588000000000004E-2</v>
      </c>
      <c r="C46" s="6">
        <v>8.1362000000000004E-2</v>
      </c>
      <c r="D46" s="6">
        <v>9.6223000000000003E-2</v>
      </c>
      <c r="E46" s="6">
        <v>8.9071999999999998E-2</v>
      </c>
      <c r="F46" s="6">
        <v>8.0553E-2</v>
      </c>
      <c r="G46" s="7" t="s">
        <v>20</v>
      </c>
      <c r="H46" s="7" t="s">
        <v>20</v>
      </c>
      <c r="I46" s="7" t="s">
        <v>20</v>
      </c>
      <c r="J46" s="7" t="s">
        <v>20</v>
      </c>
      <c r="K46" s="7" t="s">
        <v>20</v>
      </c>
      <c r="L46" s="7" t="s">
        <v>20</v>
      </c>
      <c r="M46" s="7" t="s">
        <v>20</v>
      </c>
    </row>
    <row r="47" spans="1:13" x14ac:dyDescent="0.25">
      <c r="A47" s="7" t="s">
        <v>4</v>
      </c>
      <c r="B47" s="6">
        <v>0.17888000000000001</v>
      </c>
      <c r="C47" s="6">
        <v>9.1800000000000007E-2</v>
      </c>
      <c r="D47" s="6">
        <v>0.10867</v>
      </c>
      <c r="E47" s="6">
        <v>0.23755000000000001</v>
      </c>
      <c r="F47" s="6">
        <v>0.11569</v>
      </c>
      <c r="G47" s="7" t="s">
        <v>20</v>
      </c>
      <c r="H47" s="7" t="s">
        <v>20</v>
      </c>
      <c r="I47" s="7" t="s">
        <v>20</v>
      </c>
      <c r="J47" s="7" t="s">
        <v>20</v>
      </c>
      <c r="K47" s="7" t="s">
        <v>20</v>
      </c>
      <c r="L47" s="7" t="s">
        <v>20</v>
      </c>
      <c r="M47" s="7" t="s">
        <v>20</v>
      </c>
    </row>
    <row r="48" spans="1:13" x14ac:dyDescent="0.25">
      <c r="A48" s="7" t="s">
        <v>5</v>
      </c>
      <c r="B48" s="6">
        <v>8.2598000000000005E-2</v>
      </c>
      <c r="C48" s="6">
        <v>0.10052999999999999</v>
      </c>
      <c r="D48" s="6">
        <v>0.11311</v>
      </c>
      <c r="E48" s="6">
        <v>9.2734999999999998E-2</v>
      </c>
      <c r="F48" s="6">
        <v>8.2974999999999993E-2</v>
      </c>
      <c r="G48" s="7" t="s">
        <v>20</v>
      </c>
      <c r="H48" s="7" t="s">
        <v>20</v>
      </c>
      <c r="I48" s="7" t="s">
        <v>20</v>
      </c>
      <c r="J48" s="7" t="s">
        <v>20</v>
      </c>
      <c r="K48" s="7" t="s">
        <v>20</v>
      </c>
      <c r="L48" s="7" t="s">
        <v>20</v>
      </c>
      <c r="M48" s="7" t="s">
        <v>20</v>
      </c>
    </row>
    <row r="49" spans="1:13" x14ac:dyDescent="0.25">
      <c r="A49" s="7" t="s">
        <v>6</v>
      </c>
      <c r="B49" s="6">
        <v>7.9689999999999997E-2</v>
      </c>
      <c r="C49" s="6">
        <v>0.71657999999999999</v>
      </c>
      <c r="D49" s="6">
        <v>0.10443</v>
      </c>
      <c r="E49" s="6">
        <v>8.1161999999999998E-2</v>
      </c>
      <c r="F49" s="6">
        <v>7.3349999999999999E-2</v>
      </c>
      <c r="G49" s="7" t="s">
        <v>20</v>
      </c>
      <c r="H49" s="7" t="s">
        <v>20</v>
      </c>
      <c r="I49" s="7" t="s">
        <v>20</v>
      </c>
      <c r="J49" s="7" t="s">
        <v>20</v>
      </c>
      <c r="K49" s="7" t="s">
        <v>20</v>
      </c>
      <c r="L49" s="7" t="s">
        <v>20</v>
      </c>
      <c r="M49" s="7" t="s">
        <v>20</v>
      </c>
    </row>
    <row r="50" spans="1:13" x14ac:dyDescent="0.25">
      <c r="A50" s="7" t="s">
        <v>7</v>
      </c>
      <c r="B50" s="6">
        <v>8.8065000000000004E-2</v>
      </c>
      <c r="C50" s="6">
        <v>0.18073</v>
      </c>
      <c r="D50" s="6">
        <v>0.10063</v>
      </c>
      <c r="E50" s="6">
        <v>0.19312000000000001</v>
      </c>
      <c r="F50" s="6">
        <v>9.4375000000000001E-2</v>
      </c>
      <c r="G50" s="6">
        <v>0.11534</v>
      </c>
      <c r="H50" s="7" t="s">
        <v>20</v>
      </c>
      <c r="I50" s="7" t="s">
        <v>20</v>
      </c>
      <c r="J50" s="7" t="s">
        <v>20</v>
      </c>
      <c r="K50" s="7" t="s">
        <v>20</v>
      </c>
      <c r="L50" s="7" t="s">
        <v>20</v>
      </c>
      <c r="M50" s="7" t="s">
        <v>20</v>
      </c>
    </row>
    <row r="51" spans="1:13" x14ac:dyDescent="0.25">
      <c r="A51" s="7" t="s">
        <v>8</v>
      </c>
      <c r="B51" s="6">
        <v>0.10170999999999999</v>
      </c>
      <c r="C51" s="6">
        <v>0.11128</v>
      </c>
      <c r="D51" s="6">
        <v>7.6319999999999999E-2</v>
      </c>
      <c r="E51" s="6">
        <v>7.7105000000000007E-2</v>
      </c>
      <c r="F51" s="6">
        <v>0.10681</v>
      </c>
      <c r="G51" s="7" t="s">
        <v>20</v>
      </c>
      <c r="H51" s="7" t="s">
        <v>20</v>
      </c>
      <c r="I51" s="7" t="s">
        <v>20</v>
      </c>
      <c r="J51" s="7" t="s">
        <v>20</v>
      </c>
      <c r="K51" s="7" t="s">
        <v>20</v>
      </c>
      <c r="L51" s="7" t="s">
        <v>20</v>
      </c>
      <c r="M51" s="7" t="s">
        <v>20</v>
      </c>
    </row>
    <row r="52" spans="1:13" x14ac:dyDescent="0.25">
      <c r="A52" s="7" t="s">
        <v>9</v>
      </c>
      <c r="B52" s="6">
        <v>0.10446</v>
      </c>
      <c r="C52" s="6">
        <v>9.9487999999999993E-2</v>
      </c>
      <c r="D52" s="6">
        <v>5.9158000000000002E-2</v>
      </c>
      <c r="E52" s="6">
        <v>8.9593999999999993E-2</v>
      </c>
      <c r="F52" s="6">
        <v>0.16103000000000001</v>
      </c>
      <c r="G52" s="6">
        <v>3.0691999999999999</v>
      </c>
      <c r="H52" s="7" t="s">
        <v>20</v>
      </c>
      <c r="I52" s="7" t="s">
        <v>20</v>
      </c>
      <c r="J52" s="7" t="s">
        <v>20</v>
      </c>
      <c r="K52" s="7" t="s">
        <v>20</v>
      </c>
      <c r="L52" s="7" t="s">
        <v>20</v>
      </c>
      <c r="M52" s="7" t="s">
        <v>20</v>
      </c>
    </row>
    <row r="53" spans="1:13" x14ac:dyDescent="0.25">
      <c r="A53" s="7" t="s">
        <v>63</v>
      </c>
    </row>
    <row r="54" spans="1:13" x14ac:dyDescent="0.25">
      <c r="A54" s="7" t="s">
        <v>1</v>
      </c>
      <c r="B54" s="6">
        <v>1</v>
      </c>
      <c r="C54" s="6">
        <v>2</v>
      </c>
      <c r="D54" s="6">
        <v>3</v>
      </c>
      <c r="E54" s="6">
        <v>4</v>
      </c>
      <c r="F54" s="6">
        <v>5</v>
      </c>
      <c r="G54" s="6">
        <v>6</v>
      </c>
      <c r="H54" s="6">
        <v>7</v>
      </c>
      <c r="I54" s="6">
        <v>8</v>
      </c>
      <c r="J54" s="6">
        <v>9</v>
      </c>
      <c r="K54" s="6">
        <v>10</v>
      </c>
      <c r="L54" s="6">
        <v>11</v>
      </c>
      <c r="M54" s="6">
        <v>12</v>
      </c>
    </row>
    <row r="55" spans="1:13" x14ac:dyDescent="0.25">
      <c r="A55" s="7" t="s">
        <v>2</v>
      </c>
      <c r="B55" s="6">
        <v>0.12033000000000001</v>
      </c>
      <c r="C55" s="6">
        <v>0.17097000000000001</v>
      </c>
      <c r="D55" s="6">
        <v>0.11806999999999999</v>
      </c>
      <c r="E55" s="6">
        <v>9.8200999999999997E-2</v>
      </c>
      <c r="F55" s="6">
        <v>0.22416</v>
      </c>
      <c r="G55" s="6">
        <v>6.1574999999999998E-2</v>
      </c>
      <c r="H55" s="7" t="s">
        <v>20</v>
      </c>
      <c r="I55" s="7" t="s">
        <v>20</v>
      </c>
      <c r="J55" s="7" t="s">
        <v>20</v>
      </c>
      <c r="K55" s="7" t="s">
        <v>20</v>
      </c>
      <c r="L55" s="7" t="s">
        <v>20</v>
      </c>
      <c r="M55" s="7" t="s">
        <v>20</v>
      </c>
    </row>
    <row r="56" spans="1:13" x14ac:dyDescent="0.25">
      <c r="A56" s="7" t="s">
        <v>3</v>
      </c>
      <c r="B56" s="6">
        <v>0.10915999999999999</v>
      </c>
      <c r="C56" s="6">
        <v>9.3132999999999994E-2</v>
      </c>
      <c r="D56" s="6">
        <v>0.11297</v>
      </c>
      <c r="E56" s="6">
        <v>0.10413</v>
      </c>
      <c r="F56" s="6">
        <v>8.9556999999999998E-2</v>
      </c>
      <c r="G56" s="7" t="s">
        <v>20</v>
      </c>
      <c r="H56" s="7" t="s">
        <v>20</v>
      </c>
      <c r="I56" s="7" t="s">
        <v>20</v>
      </c>
      <c r="J56" s="7" t="s">
        <v>20</v>
      </c>
      <c r="K56" s="7" t="s">
        <v>20</v>
      </c>
      <c r="L56" s="7" t="s">
        <v>20</v>
      </c>
      <c r="M56" s="7" t="s">
        <v>20</v>
      </c>
    </row>
    <row r="57" spans="1:13" x14ac:dyDescent="0.25">
      <c r="A57" s="7" t="s">
        <v>4</v>
      </c>
      <c r="B57" s="6">
        <v>0.23401</v>
      </c>
      <c r="C57" s="6">
        <v>0.10716000000000001</v>
      </c>
      <c r="D57" s="6">
        <v>0.13148000000000001</v>
      </c>
      <c r="E57" s="6">
        <v>0.31483</v>
      </c>
      <c r="F57" s="6">
        <v>0.14193</v>
      </c>
      <c r="G57" s="7" t="s">
        <v>20</v>
      </c>
      <c r="H57" s="7" t="s">
        <v>20</v>
      </c>
      <c r="I57" s="7" t="s">
        <v>20</v>
      </c>
      <c r="J57" s="7" t="s">
        <v>20</v>
      </c>
      <c r="K57" s="7" t="s">
        <v>20</v>
      </c>
      <c r="L57" s="7" t="s">
        <v>20</v>
      </c>
      <c r="M57" s="7" t="s">
        <v>20</v>
      </c>
    </row>
    <row r="58" spans="1:13" x14ac:dyDescent="0.25">
      <c r="A58" s="7" t="s">
        <v>5</v>
      </c>
      <c r="B58" s="6">
        <v>9.4687999999999994E-2</v>
      </c>
      <c r="C58" s="6">
        <v>0.1187</v>
      </c>
      <c r="D58" s="6">
        <v>0.13778000000000001</v>
      </c>
      <c r="E58" s="6">
        <v>0.10689</v>
      </c>
      <c r="F58" s="6">
        <v>9.4228000000000006E-2</v>
      </c>
      <c r="G58" s="7" t="s">
        <v>20</v>
      </c>
      <c r="H58" s="7" t="s">
        <v>20</v>
      </c>
      <c r="I58" s="7" t="s">
        <v>20</v>
      </c>
      <c r="J58" s="7" t="s">
        <v>20</v>
      </c>
      <c r="K58" s="7" t="s">
        <v>20</v>
      </c>
      <c r="L58" s="7" t="s">
        <v>20</v>
      </c>
      <c r="M58" s="7" t="s">
        <v>20</v>
      </c>
    </row>
    <row r="59" spans="1:13" x14ac:dyDescent="0.25">
      <c r="A59" s="7" t="s">
        <v>6</v>
      </c>
      <c r="B59" s="6">
        <v>9.0383000000000005E-2</v>
      </c>
      <c r="C59" s="6">
        <v>0.97706000000000004</v>
      </c>
      <c r="D59" s="6">
        <v>0.12449</v>
      </c>
      <c r="E59" s="6">
        <v>9.1658000000000003E-2</v>
      </c>
      <c r="F59" s="6">
        <v>8.0734E-2</v>
      </c>
      <c r="G59" s="7" t="s">
        <v>20</v>
      </c>
      <c r="H59" s="7" t="s">
        <v>20</v>
      </c>
      <c r="I59" s="7" t="s">
        <v>20</v>
      </c>
      <c r="J59" s="7" t="s">
        <v>20</v>
      </c>
      <c r="K59" s="7" t="s">
        <v>20</v>
      </c>
      <c r="L59" s="7" t="s">
        <v>20</v>
      </c>
      <c r="M59" s="7" t="s">
        <v>20</v>
      </c>
    </row>
    <row r="60" spans="1:13" x14ac:dyDescent="0.25">
      <c r="A60" s="7" t="s">
        <v>7</v>
      </c>
      <c r="B60" s="6">
        <v>0.10256999999999999</v>
      </c>
      <c r="C60" s="6">
        <v>0.23679</v>
      </c>
      <c r="D60" s="6">
        <v>0.12064999999999999</v>
      </c>
      <c r="E60" s="6">
        <v>0.25247999999999998</v>
      </c>
      <c r="F60" s="6">
        <v>0.11049</v>
      </c>
      <c r="G60" s="6">
        <v>0.14122000000000001</v>
      </c>
      <c r="H60" s="7" t="s">
        <v>20</v>
      </c>
      <c r="I60" s="7" t="s">
        <v>20</v>
      </c>
      <c r="J60" s="7" t="s">
        <v>20</v>
      </c>
      <c r="K60" s="7" t="s">
        <v>20</v>
      </c>
      <c r="L60" s="7" t="s">
        <v>20</v>
      </c>
      <c r="M60" s="7" t="s">
        <v>20</v>
      </c>
    </row>
    <row r="61" spans="1:13" x14ac:dyDescent="0.25">
      <c r="A61" s="7" t="s">
        <v>8</v>
      </c>
      <c r="B61" s="6">
        <v>0.12207999999999999</v>
      </c>
      <c r="C61" s="6">
        <v>0.1351</v>
      </c>
      <c r="D61" s="6">
        <v>8.4097000000000005E-2</v>
      </c>
      <c r="E61" s="6">
        <v>8.5462999999999997E-2</v>
      </c>
      <c r="F61" s="6">
        <v>0.12679000000000001</v>
      </c>
      <c r="G61" s="7" t="s">
        <v>20</v>
      </c>
      <c r="H61" s="7" t="s">
        <v>20</v>
      </c>
      <c r="I61" s="7" t="s">
        <v>20</v>
      </c>
      <c r="J61" s="7" t="s">
        <v>20</v>
      </c>
      <c r="K61" s="7" t="s">
        <v>20</v>
      </c>
      <c r="L61" s="7" t="s">
        <v>20</v>
      </c>
      <c r="M61" s="7" t="s">
        <v>20</v>
      </c>
    </row>
    <row r="62" spans="1:13" x14ac:dyDescent="0.25">
      <c r="A62" s="7" t="s">
        <v>9</v>
      </c>
      <c r="B62" s="6">
        <v>0.12673000000000001</v>
      </c>
      <c r="C62" s="6">
        <v>0.11795</v>
      </c>
      <c r="D62" s="6">
        <v>5.9763999999999998E-2</v>
      </c>
      <c r="E62" s="6">
        <v>0.10383000000000001</v>
      </c>
      <c r="F62" s="6">
        <v>0.19514000000000001</v>
      </c>
      <c r="G62" s="6">
        <v>3.3107000000000002</v>
      </c>
      <c r="H62" s="7" t="s">
        <v>20</v>
      </c>
      <c r="I62" s="7" t="s">
        <v>20</v>
      </c>
      <c r="J62" s="7" t="s">
        <v>20</v>
      </c>
      <c r="K62" s="7" t="s">
        <v>20</v>
      </c>
      <c r="L62" s="7" t="s">
        <v>20</v>
      </c>
      <c r="M62" s="7" t="s">
        <v>20</v>
      </c>
    </row>
    <row r="63" spans="1:13" x14ac:dyDescent="0.25">
      <c r="A63" s="7" t="s">
        <v>64</v>
      </c>
    </row>
    <row r="64" spans="1:13" x14ac:dyDescent="0.25">
      <c r="A64" s="7" t="s">
        <v>21</v>
      </c>
    </row>
    <row r="65" spans="1:1" x14ac:dyDescent="0.25">
      <c r="A65" s="7" t="s">
        <v>22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23</v>
      </c>
    </row>
    <row r="69" spans="1:1" x14ac:dyDescent="0.25">
      <c r="A69" s="7" t="s">
        <v>24</v>
      </c>
    </row>
    <row r="70" spans="1:1" x14ac:dyDescent="0.25">
      <c r="A70" s="7" t="s">
        <v>25</v>
      </c>
    </row>
    <row r="72" spans="1:1" x14ac:dyDescent="0.25">
      <c r="A72" s="7" t="s">
        <v>26</v>
      </c>
    </row>
    <row r="73" spans="1:1" x14ac:dyDescent="0.25">
      <c r="A73" s="7" t="s">
        <v>27</v>
      </c>
    </row>
    <row r="74" spans="1:1" x14ac:dyDescent="0.25">
      <c r="A74" s="7" t="s">
        <v>28</v>
      </c>
    </row>
    <row r="75" spans="1:1" x14ac:dyDescent="0.25">
      <c r="A75" s="7" t="s">
        <v>29</v>
      </c>
    </row>
    <row r="76" spans="1:1" x14ac:dyDescent="0.25">
      <c r="A76" s="7" t="s">
        <v>30</v>
      </c>
    </row>
    <row r="77" spans="1:1" x14ac:dyDescent="0.25">
      <c r="A77" s="7" t="s">
        <v>31</v>
      </c>
    </row>
    <row r="78" spans="1:1" x14ac:dyDescent="0.25">
      <c r="A78" s="7" t="s">
        <v>32</v>
      </c>
    </row>
    <row r="79" spans="1:1" x14ac:dyDescent="0.25">
      <c r="A79" s="7" t="s">
        <v>33</v>
      </c>
    </row>
    <row r="80" spans="1:1" x14ac:dyDescent="0.25">
      <c r="A80" s="7" t="s">
        <v>34</v>
      </c>
    </row>
    <row r="81" spans="1:1" x14ac:dyDescent="0.25">
      <c r="A81" s="7" t="s">
        <v>35</v>
      </c>
    </row>
    <row r="82" spans="1:1" x14ac:dyDescent="0.25">
      <c r="A82" s="7" t="s">
        <v>36</v>
      </c>
    </row>
    <row r="83" spans="1:1" x14ac:dyDescent="0.25">
      <c r="A83" s="7" t="s">
        <v>37</v>
      </c>
    </row>
    <row r="84" spans="1:1" x14ac:dyDescent="0.25">
      <c r="A84" s="7" t="s">
        <v>38</v>
      </c>
    </row>
    <row r="85" spans="1:1" x14ac:dyDescent="0.25">
      <c r="A85" s="7" t="s">
        <v>39</v>
      </c>
    </row>
    <row r="86" spans="1:1" x14ac:dyDescent="0.25">
      <c r="A86" s="7" t="s">
        <v>67</v>
      </c>
    </row>
  </sheetData>
  <conditionalFormatting sqref="AD5">
    <cfRule type="cellIs" dxfId="71" priority="22" operator="between">
      <formula>2</formula>
      <formula>3</formula>
    </cfRule>
    <cfRule type="cellIs" dxfId="70" priority="23" operator="lessThan">
      <formula>2</formula>
    </cfRule>
    <cfRule type="cellIs" dxfId="69" priority="24" operator="greaterThan">
      <formula>3</formula>
    </cfRule>
  </conditionalFormatting>
  <conditionalFormatting sqref="AD9">
    <cfRule type="cellIs" dxfId="68" priority="20" operator="lessThan">
      <formula>10</formula>
    </cfRule>
    <cfRule type="cellIs" dxfId="67" priority="21" operator="greaterThan">
      <formula>10</formula>
    </cfRule>
  </conditionalFormatting>
  <conditionalFormatting sqref="P5:AA12">
    <cfRule type="cellIs" dxfId="66" priority="17" operator="between">
      <formula>$AD$8</formula>
      <formula>$AD$7</formula>
    </cfRule>
    <cfRule type="cellIs" dxfId="65" priority="18" operator="lessThan">
      <formula>$AD$8</formula>
    </cfRule>
    <cfRule type="cellIs" dxfId="64" priority="19" operator="greaterThan">
      <formula>$AD$7</formula>
    </cfRule>
  </conditionalFormatting>
  <conditionalFormatting sqref="AD15">
    <cfRule type="cellIs" dxfId="63" priority="14" operator="between">
      <formula>2</formula>
      <formula>3</formula>
    </cfRule>
    <cfRule type="cellIs" dxfId="62" priority="15" operator="lessThan">
      <formula>2</formula>
    </cfRule>
    <cfRule type="cellIs" dxfId="61" priority="16" operator="greaterThan">
      <formula>3</formula>
    </cfRule>
  </conditionalFormatting>
  <conditionalFormatting sqref="AD19">
    <cfRule type="cellIs" dxfId="60" priority="12" operator="lessThan">
      <formula>10</formula>
    </cfRule>
    <cfRule type="cellIs" dxfId="59" priority="13" operator="greaterThan">
      <formula>10</formula>
    </cfRule>
  </conditionalFormatting>
  <conditionalFormatting sqref="P15:AA22">
    <cfRule type="cellIs" dxfId="58" priority="9" operator="between">
      <formula>$AD$8</formula>
      <formula>$AD$7</formula>
    </cfRule>
    <cfRule type="cellIs" dxfId="57" priority="10" operator="lessThan">
      <formula>$AD$8</formula>
    </cfRule>
    <cfRule type="cellIs" dxfId="56" priority="11" operator="greaterThan">
      <formula>$AD$7</formula>
    </cfRule>
  </conditionalFormatting>
  <conditionalFormatting sqref="AD25">
    <cfRule type="cellIs" dxfId="55" priority="6" operator="between">
      <formula>2</formula>
      <formula>3</formula>
    </cfRule>
    <cfRule type="cellIs" dxfId="54" priority="7" operator="lessThan">
      <formula>2</formula>
    </cfRule>
    <cfRule type="cellIs" dxfId="53" priority="8" operator="greaterThan">
      <formula>3</formula>
    </cfRule>
  </conditionalFormatting>
  <conditionalFormatting sqref="AD29">
    <cfRule type="cellIs" dxfId="52" priority="4" operator="lessThan">
      <formula>10</formula>
    </cfRule>
    <cfRule type="cellIs" dxfId="51" priority="5" operator="greaterThan">
      <formula>10</formula>
    </cfRule>
  </conditionalFormatting>
  <conditionalFormatting sqref="P25:AA32">
    <cfRule type="cellIs" dxfId="50" priority="1" operator="between">
      <formula>$AD$8</formula>
      <formula>$AD$7</formula>
    </cfRule>
    <cfRule type="cellIs" dxfId="49" priority="2" operator="lessThan">
      <formula>$AD$8</formula>
    </cfRule>
    <cfRule type="cellIs" dxfId="48" priority="3" operator="greaterThan">
      <formula>$AD$7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"/>
  <sheetViews>
    <sheetView zoomScale="90" zoomScaleNormal="90" workbookViewId="0">
      <selection activeCell="O1" sqref="O1:O1048576"/>
    </sheetView>
  </sheetViews>
  <sheetFormatPr defaultRowHeight="15" x14ac:dyDescent="0.25"/>
  <cols>
    <col min="15" max="15" width="9.140625" style="8"/>
    <col min="29" max="29" width="9.85546875" bestFit="1" customWidth="1"/>
  </cols>
  <sheetData>
    <row r="1" spans="1:30" x14ac:dyDescent="0.25">
      <c r="A1" s="1" t="s">
        <v>18</v>
      </c>
      <c r="O1" s="9" t="s">
        <v>11</v>
      </c>
      <c r="R1" s="3" t="s">
        <v>12</v>
      </c>
      <c r="T1" s="4" t="s">
        <v>43</v>
      </c>
      <c r="V1" s="5" t="s">
        <v>13</v>
      </c>
    </row>
    <row r="2" spans="1:30" x14ac:dyDescent="0.25">
      <c r="A2" s="1" t="s">
        <v>19</v>
      </c>
      <c r="O2" s="9"/>
    </row>
    <row r="3" spans="1:30" x14ac:dyDescent="0.25">
      <c r="A3" s="1" t="s">
        <v>0</v>
      </c>
      <c r="O3" s="9" t="s">
        <v>76</v>
      </c>
    </row>
    <row r="4" spans="1:30" x14ac:dyDescent="0.25">
      <c r="A4" s="1" t="s">
        <v>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O4" s="9" t="s">
        <v>1</v>
      </c>
      <c r="P4">
        <v>1</v>
      </c>
      <c r="Q4">
        <v>2</v>
      </c>
      <c r="R4">
        <v>3</v>
      </c>
      <c r="S4">
        <v>4</v>
      </c>
      <c r="T4">
        <v>5</v>
      </c>
      <c r="U4">
        <v>6</v>
      </c>
      <c r="V4">
        <v>7</v>
      </c>
      <c r="W4">
        <v>8</v>
      </c>
      <c r="X4">
        <v>9</v>
      </c>
      <c r="Y4">
        <v>10</v>
      </c>
      <c r="Z4">
        <v>11</v>
      </c>
      <c r="AA4">
        <v>12</v>
      </c>
      <c r="AC4" s="2" t="s">
        <v>40</v>
      </c>
    </row>
    <row r="5" spans="1:30" x14ac:dyDescent="0.25">
      <c r="A5" s="1" t="s">
        <v>2</v>
      </c>
      <c r="B5">
        <v>0.11185</v>
      </c>
      <c r="C5">
        <v>0.14063000000000001</v>
      </c>
      <c r="D5">
        <v>8.3030999999999994E-2</v>
      </c>
      <c r="E5">
        <v>8.0972000000000002E-2</v>
      </c>
      <c r="F5">
        <v>0.10909000000000001</v>
      </c>
      <c r="G5">
        <v>6.5523999999999999E-2</v>
      </c>
      <c r="H5">
        <v>9.6445000000000003E-2</v>
      </c>
      <c r="I5">
        <v>0.12609999999999999</v>
      </c>
      <c r="J5">
        <v>8.4915000000000004E-2</v>
      </c>
      <c r="K5">
        <v>8.5959999999999995E-2</v>
      </c>
      <c r="L5">
        <v>0.10169</v>
      </c>
      <c r="M5">
        <v>6.0490000000000002E-2</v>
      </c>
      <c r="O5" s="9" t="s">
        <v>2</v>
      </c>
      <c r="P5">
        <f>B5</f>
        <v>0.11185</v>
      </c>
      <c r="Q5">
        <f t="shared" ref="Q5:AA5" si="0">C5</f>
        <v>0.14063000000000001</v>
      </c>
      <c r="R5">
        <f t="shared" si="0"/>
        <v>8.3030999999999994E-2</v>
      </c>
      <c r="S5">
        <f t="shared" si="0"/>
        <v>8.0972000000000002E-2</v>
      </c>
      <c r="T5">
        <f t="shared" si="0"/>
        <v>0.10909000000000001</v>
      </c>
      <c r="U5">
        <f t="shared" si="0"/>
        <v>6.5523999999999999E-2</v>
      </c>
      <c r="V5">
        <f t="shared" si="0"/>
        <v>9.6445000000000003E-2</v>
      </c>
      <c r="W5">
        <f t="shared" si="0"/>
        <v>0.12609999999999999</v>
      </c>
      <c r="X5">
        <f t="shared" si="0"/>
        <v>8.4915000000000004E-2</v>
      </c>
      <c r="Y5">
        <f t="shared" si="0"/>
        <v>8.5959999999999995E-2</v>
      </c>
      <c r="Z5">
        <f t="shared" si="0"/>
        <v>0.10169</v>
      </c>
      <c r="AA5">
        <f t="shared" si="0"/>
        <v>6.0490000000000002E-2</v>
      </c>
      <c r="AC5" t="s">
        <v>12</v>
      </c>
      <c r="AD5">
        <f>AVERAGE(U11,U12,AA11,AA12)</f>
        <v>2.465325</v>
      </c>
    </row>
    <row r="6" spans="1:30" x14ac:dyDescent="0.25">
      <c r="A6" s="1" t="s">
        <v>3</v>
      </c>
      <c r="B6">
        <v>7.7554999999999999E-2</v>
      </c>
      <c r="C6">
        <v>7.7908000000000005E-2</v>
      </c>
      <c r="D6">
        <v>8.5203000000000001E-2</v>
      </c>
      <c r="E6">
        <v>8.9063000000000003E-2</v>
      </c>
      <c r="F6">
        <v>7.4921000000000001E-2</v>
      </c>
      <c r="G6">
        <v>6.2642000000000003E-2</v>
      </c>
      <c r="H6">
        <v>7.7866000000000005E-2</v>
      </c>
      <c r="I6">
        <v>8.0865000000000006E-2</v>
      </c>
      <c r="J6">
        <v>9.2968999999999996E-2</v>
      </c>
      <c r="K6">
        <v>8.3474000000000007E-2</v>
      </c>
      <c r="L6">
        <v>7.7025999999999997E-2</v>
      </c>
      <c r="M6">
        <v>6.6056000000000004E-2</v>
      </c>
      <c r="O6" s="9" t="s">
        <v>3</v>
      </c>
      <c r="P6">
        <f t="shared" ref="P6:P12" si="1">B6</f>
        <v>7.7554999999999999E-2</v>
      </c>
      <c r="Q6">
        <f t="shared" ref="Q6:Q12" si="2">C6</f>
        <v>7.7908000000000005E-2</v>
      </c>
      <c r="R6">
        <f t="shared" ref="R6:R12" si="3">D6</f>
        <v>8.5203000000000001E-2</v>
      </c>
      <c r="S6">
        <f t="shared" ref="S6:S12" si="4">E6</f>
        <v>8.9063000000000003E-2</v>
      </c>
      <c r="T6">
        <f t="shared" ref="T6:T12" si="5">F6</f>
        <v>7.4921000000000001E-2</v>
      </c>
      <c r="U6">
        <f t="shared" ref="U6:U12" si="6">G6</f>
        <v>6.2642000000000003E-2</v>
      </c>
      <c r="V6">
        <f t="shared" ref="V6:V12" si="7">H6</f>
        <v>7.7866000000000005E-2</v>
      </c>
      <c r="W6">
        <f t="shared" ref="W6:W12" si="8">I6</f>
        <v>8.0865000000000006E-2</v>
      </c>
      <c r="X6">
        <f t="shared" ref="X6:X12" si="9">J6</f>
        <v>9.2968999999999996E-2</v>
      </c>
      <c r="Y6">
        <f t="shared" ref="Y6:Y12" si="10">K6</f>
        <v>8.3474000000000007E-2</v>
      </c>
      <c r="Z6">
        <f t="shared" ref="Z6:Z12" si="11">L6</f>
        <v>7.7025999999999997E-2</v>
      </c>
      <c r="AA6">
        <f t="shared" ref="AA6:AA12" si="12">M6</f>
        <v>6.6056000000000004E-2</v>
      </c>
      <c r="AC6" t="s">
        <v>13</v>
      </c>
      <c r="AD6">
        <f>AVERAGE(U5,U6,U7,U8,U9,U10,AA5,AA6,AA7,AA8,AA9,AA10,)</f>
        <v>6.2629307692307692E-2</v>
      </c>
    </row>
    <row r="7" spans="1:30" x14ac:dyDescent="0.25">
      <c r="A7" s="1" t="s">
        <v>4</v>
      </c>
      <c r="B7">
        <v>0.11962</v>
      </c>
      <c r="C7">
        <v>8.5071999999999995E-2</v>
      </c>
      <c r="D7">
        <v>0.10364</v>
      </c>
      <c r="E7">
        <v>0.13031000000000001</v>
      </c>
      <c r="F7">
        <v>0.10209</v>
      </c>
      <c r="G7">
        <v>6.2276999999999999E-2</v>
      </c>
      <c r="H7">
        <v>0.10237</v>
      </c>
      <c r="I7">
        <v>7.6539999999999997E-2</v>
      </c>
      <c r="J7">
        <v>9.7907999999999995E-2</v>
      </c>
      <c r="K7">
        <v>0.10994</v>
      </c>
      <c r="L7">
        <v>9.8405999999999993E-2</v>
      </c>
      <c r="M7">
        <v>6.6445000000000004E-2</v>
      </c>
      <c r="O7" s="9" t="s">
        <v>4</v>
      </c>
      <c r="P7">
        <f t="shared" si="1"/>
        <v>0.11962</v>
      </c>
      <c r="Q7">
        <f t="shared" si="2"/>
        <v>8.5071999999999995E-2</v>
      </c>
      <c r="R7">
        <f t="shared" si="3"/>
        <v>0.10364</v>
      </c>
      <c r="S7">
        <f t="shared" si="4"/>
        <v>0.13031000000000001</v>
      </c>
      <c r="T7">
        <f t="shared" si="5"/>
        <v>0.10209</v>
      </c>
      <c r="U7">
        <f t="shared" si="6"/>
        <v>6.2276999999999999E-2</v>
      </c>
      <c r="V7">
        <f t="shared" si="7"/>
        <v>0.10237</v>
      </c>
      <c r="W7">
        <f t="shared" si="8"/>
        <v>7.6539999999999997E-2</v>
      </c>
      <c r="X7">
        <f t="shared" si="9"/>
        <v>9.7907999999999995E-2</v>
      </c>
      <c r="Y7">
        <f t="shared" si="10"/>
        <v>0.10994</v>
      </c>
      <c r="Z7">
        <f t="shared" si="11"/>
        <v>9.8405999999999993E-2</v>
      </c>
      <c r="AA7">
        <f t="shared" si="12"/>
        <v>6.6445000000000004E-2</v>
      </c>
      <c r="AC7" t="s">
        <v>14</v>
      </c>
      <c r="AD7">
        <f>AD6+(0.35*AD5)</f>
        <v>0.92549305769230761</v>
      </c>
    </row>
    <row r="8" spans="1:30" x14ac:dyDescent="0.25">
      <c r="A8" s="1" t="s">
        <v>5</v>
      </c>
      <c r="B8">
        <v>8.3584000000000006E-2</v>
      </c>
      <c r="C8">
        <v>7.979E-2</v>
      </c>
      <c r="D8">
        <v>9.1305999999999998E-2</v>
      </c>
      <c r="E8">
        <v>8.5965E-2</v>
      </c>
      <c r="F8">
        <v>7.5481999999999994E-2</v>
      </c>
      <c r="G8">
        <v>6.1780000000000002E-2</v>
      </c>
      <c r="H8">
        <v>7.3235999999999996E-2</v>
      </c>
      <c r="I8">
        <v>7.5888999999999998E-2</v>
      </c>
      <c r="J8">
        <v>9.0326000000000004E-2</v>
      </c>
      <c r="K8">
        <v>8.2521999999999998E-2</v>
      </c>
      <c r="L8">
        <v>7.4454999999999993E-2</v>
      </c>
      <c r="M8">
        <v>6.4119999999999996E-2</v>
      </c>
      <c r="O8" s="9" t="s">
        <v>5</v>
      </c>
      <c r="P8">
        <f t="shared" si="1"/>
        <v>8.3584000000000006E-2</v>
      </c>
      <c r="Q8">
        <f t="shared" si="2"/>
        <v>7.979E-2</v>
      </c>
      <c r="R8">
        <f t="shared" si="3"/>
        <v>9.1305999999999998E-2</v>
      </c>
      <c r="S8">
        <f t="shared" si="4"/>
        <v>8.5965E-2</v>
      </c>
      <c r="T8">
        <f t="shared" si="5"/>
        <v>7.5481999999999994E-2</v>
      </c>
      <c r="U8">
        <f t="shared" si="6"/>
        <v>6.1780000000000002E-2</v>
      </c>
      <c r="V8">
        <f t="shared" si="7"/>
        <v>7.3235999999999996E-2</v>
      </c>
      <c r="W8">
        <f t="shared" si="8"/>
        <v>7.5888999999999998E-2</v>
      </c>
      <c r="X8">
        <f t="shared" si="9"/>
        <v>9.0326000000000004E-2</v>
      </c>
      <c r="Y8">
        <f t="shared" si="10"/>
        <v>8.2521999999999998E-2</v>
      </c>
      <c r="Z8">
        <f t="shared" si="11"/>
        <v>7.4454999999999993E-2</v>
      </c>
      <c r="AA8">
        <f t="shared" si="12"/>
        <v>6.4119999999999996E-2</v>
      </c>
      <c r="AC8" t="s">
        <v>15</v>
      </c>
      <c r="AD8">
        <f>AD6+(0.25*AD5)</f>
        <v>0.67896055769230768</v>
      </c>
    </row>
    <row r="9" spans="1:30" x14ac:dyDescent="0.25">
      <c r="A9" s="1" t="s">
        <v>6</v>
      </c>
      <c r="B9">
        <v>8.9441999999999994E-2</v>
      </c>
      <c r="C9">
        <v>0.43014000000000002</v>
      </c>
      <c r="D9">
        <v>8.9876999999999999E-2</v>
      </c>
      <c r="E9">
        <v>7.6059000000000002E-2</v>
      </c>
      <c r="F9">
        <v>7.5074000000000002E-2</v>
      </c>
      <c r="G9">
        <v>6.2066000000000003E-2</v>
      </c>
      <c r="H9">
        <v>7.2922000000000001E-2</v>
      </c>
      <c r="I9">
        <v>0.38231999999999999</v>
      </c>
      <c r="J9">
        <v>8.3109000000000002E-2</v>
      </c>
      <c r="K9">
        <v>8.2392999999999994E-2</v>
      </c>
      <c r="L9">
        <v>7.7245999999999995E-2</v>
      </c>
      <c r="M9">
        <v>6.1182E-2</v>
      </c>
      <c r="O9" s="9" t="s">
        <v>6</v>
      </c>
      <c r="P9">
        <f t="shared" si="1"/>
        <v>8.9441999999999994E-2</v>
      </c>
      <c r="Q9">
        <f t="shared" si="2"/>
        <v>0.43014000000000002</v>
      </c>
      <c r="R9">
        <f t="shared" si="3"/>
        <v>8.9876999999999999E-2</v>
      </c>
      <c r="S9">
        <f t="shared" si="4"/>
        <v>7.6059000000000002E-2</v>
      </c>
      <c r="T9">
        <f t="shared" si="5"/>
        <v>7.5074000000000002E-2</v>
      </c>
      <c r="U9">
        <f t="shared" si="6"/>
        <v>6.2066000000000003E-2</v>
      </c>
      <c r="V9">
        <f t="shared" si="7"/>
        <v>7.2922000000000001E-2</v>
      </c>
      <c r="W9">
        <f t="shared" si="8"/>
        <v>0.38231999999999999</v>
      </c>
      <c r="X9">
        <f t="shared" si="9"/>
        <v>8.3109000000000002E-2</v>
      </c>
      <c r="Y9">
        <f t="shared" si="10"/>
        <v>8.2392999999999994E-2</v>
      </c>
      <c r="Z9">
        <f t="shared" si="11"/>
        <v>7.7245999999999995E-2</v>
      </c>
      <c r="AA9">
        <f t="shared" si="12"/>
        <v>6.1182E-2</v>
      </c>
      <c r="AC9" t="s">
        <v>16</v>
      </c>
      <c r="AD9">
        <f>AD5/AD6</f>
        <v>39.363759409762693</v>
      </c>
    </row>
    <row r="10" spans="1:30" x14ac:dyDescent="0.25">
      <c r="A10" s="1" t="s">
        <v>7</v>
      </c>
      <c r="B10">
        <v>7.2735999999999995E-2</v>
      </c>
      <c r="C10">
        <v>0.14274000000000001</v>
      </c>
      <c r="D10">
        <v>0.10173</v>
      </c>
      <c r="E10">
        <v>0.12975</v>
      </c>
      <c r="F10">
        <v>8.7307999999999997E-2</v>
      </c>
      <c r="G10">
        <v>9.4678999999999999E-2</v>
      </c>
      <c r="H10">
        <v>7.1057999999999996E-2</v>
      </c>
      <c r="I10">
        <v>0.14574999999999999</v>
      </c>
      <c r="J10">
        <v>9.8337999999999995E-2</v>
      </c>
      <c r="K10">
        <v>0.12862000000000001</v>
      </c>
      <c r="L10">
        <v>8.4404999999999994E-2</v>
      </c>
      <c r="M10">
        <v>8.6919999999999997E-2</v>
      </c>
      <c r="O10" s="9" t="s">
        <v>7</v>
      </c>
      <c r="P10">
        <f t="shared" si="1"/>
        <v>7.2735999999999995E-2</v>
      </c>
      <c r="Q10">
        <f t="shared" si="2"/>
        <v>0.14274000000000001</v>
      </c>
      <c r="R10">
        <f t="shared" si="3"/>
        <v>0.10173</v>
      </c>
      <c r="S10">
        <f t="shared" si="4"/>
        <v>0.12975</v>
      </c>
      <c r="T10">
        <f t="shared" si="5"/>
        <v>8.7307999999999997E-2</v>
      </c>
      <c r="U10">
        <f t="shared" si="6"/>
        <v>9.4678999999999999E-2</v>
      </c>
      <c r="V10">
        <f t="shared" si="7"/>
        <v>7.1057999999999996E-2</v>
      </c>
      <c r="W10">
        <f t="shared" si="8"/>
        <v>0.14574999999999999</v>
      </c>
      <c r="X10">
        <f t="shared" si="9"/>
        <v>9.8337999999999995E-2</v>
      </c>
      <c r="Y10">
        <f t="shared" si="10"/>
        <v>0.12862000000000001</v>
      </c>
      <c r="Z10">
        <f t="shared" si="11"/>
        <v>8.4404999999999994E-2</v>
      </c>
      <c r="AA10">
        <f t="shared" si="12"/>
        <v>8.6919999999999997E-2</v>
      </c>
    </row>
    <row r="11" spans="1:30" x14ac:dyDescent="0.25">
      <c r="A11" s="1" t="s">
        <v>8</v>
      </c>
      <c r="B11">
        <v>8.7766999999999998E-2</v>
      </c>
      <c r="C11">
        <v>0.1119</v>
      </c>
      <c r="D11">
        <v>7.8115000000000004E-2</v>
      </c>
      <c r="E11">
        <v>7.6010999999999995E-2</v>
      </c>
      <c r="F11">
        <v>9.2090000000000005E-2</v>
      </c>
      <c r="G11">
        <v>2.4906999999999999</v>
      </c>
      <c r="H11">
        <v>7.9889000000000002E-2</v>
      </c>
      <c r="I11">
        <v>0.10846</v>
      </c>
      <c r="J11">
        <v>7.7610999999999999E-2</v>
      </c>
      <c r="K11">
        <v>7.7991000000000005E-2</v>
      </c>
      <c r="L11">
        <v>9.0034000000000003E-2</v>
      </c>
      <c r="M11">
        <v>2.3483000000000001</v>
      </c>
      <c r="O11" s="9" t="s">
        <v>8</v>
      </c>
      <c r="P11">
        <f t="shared" si="1"/>
        <v>8.7766999999999998E-2</v>
      </c>
      <c r="Q11">
        <f t="shared" si="2"/>
        <v>0.1119</v>
      </c>
      <c r="R11">
        <f t="shared" si="3"/>
        <v>7.8115000000000004E-2</v>
      </c>
      <c r="S11">
        <f t="shared" si="4"/>
        <v>7.6010999999999995E-2</v>
      </c>
      <c r="T11">
        <f t="shared" si="5"/>
        <v>9.2090000000000005E-2</v>
      </c>
      <c r="U11">
        <f t="shared" si="6"/>
        <v>2.4906999999999999</v>
      </c>
      <c r="V11">
        <f t="shared" si="7"/>
        <v>7.9889000000000002E-2</v>
      </c>
      <c r="W11">
        <f t="shared" si="8"/>
        <v>0.10846</v>
      </c>
      <c r="X11">
        <f t="shared" si="9"/>
        <v>7.7610999999999999E-2</v>
      </c>
      <c r="Y11">
        <f t="shared" si="10"/>
        <v>7.7991000000000005E-2</v>
      </c>
      <c r="Z11">
        <f t="shared" si="11"/>
        <v>9.0034000000000003E-2</v>
      </c>
      <c r="AA11">
        <f t="shared" si="12"/>
        <v>2.3483000000000001</v>
      </c>
      <c r="AC11" t="s">
        <v>17</v>
      </c>
      <c r="AD11" t="str">
        <f>IF((AND(AD5&gt;2,AD5&lt;3,AD9&gt;10)),"PASS","FAIL")</f>
        <v>PASS</v>
      </c>
    </row>
    <row r="12" spans="1:30" x14ac:dyDescent="0.25">
      <c r="A12" s="1" t="s">
        <v>9</v>
      </c>
      <c r="B12">
        <v>9.5962000000000006E-2</v>
      </c>
      <c r="C12">
        <v>0.10183</v>
      </c>
      <c r="D12">
        <v>6.2830999999999998E-2</v>
      </c>
      <c r="E12">
        <v>8.2863999999999993E-2</v>
      </c>
      <c r="F12">
        <v>0.12255000000000001</v>
      </c>
      <c r="G12">
        <v>2.5888</v>
      </c>
      <c r="H12">
        <v>8.9714000000000002E-2</v>
      </c>
      <c r="I12">
        <v>9.8044000000000006E-2</v>
      </c>
      <c r="J12">
        <v>6.2283999999999999E-2</v>
      </c>
      <c r="K12">
        <v>7.9964999999999994E-2</v>
      </c>
      <c r="L12">
        <v>0.11679</v>
      </c>
      <c r="M12">
        <v>2.4335</v>
      </c>
      <c r="O12" s="9" t="s">
        <v>9</v>
      </c>
      <c r="P12">
        <f t="shared" si="1"/>
        <v>9.5962000000000006E-2</v>
      </c>
      <c r="Q12">
        <f t="shared" si="2"/>
        <v>0.10183</v>
      </c>
      <c r="R12">
        <f t="shared" si="3"/>
        <v>6.2830999999999998E-2</v>
      </c>
      <c r="S12">
        <f t="shared" si="4"/>
        <v>8.2863999999999993E-2</v>
      </c>
      <c r="T12">
        <f t="shared" si="5"/>
        <v>0.12255000000000001</v>
      </c>
      <c r="U12">
        <f t="shared" si="6"/>
        <v>2.5888</v>
      </c>
      <c r="V12">
        <f t="shared" si="7"/>
        <v>8.9714000000000002E-2</v>
      </c>
      <c r="W12">
        <f t="shared" si="8"/>
        <v>9.8044000000000006E-2</v>
      </c>
      <c r="X12">
        <f t="shared" si="9"/>
        <v>6.2283999999999999E-2</v>
      </c>
      <c r="Y12">
        <f t="shared" si="10"/>
        <v>7.9964999999999994E-2</v>
      </c>
      <c r="Z12">
        <f t="shared" si="11"/>
        <v>0.11679</v>
      </c>
      <c r="AA12">
        <f t="shared" si="12"/>
        <v>2.4335</v>
      </c>
    </row>
    <row r="13" spans="1:30" x14ac:dyDescent="0.25">
      <c r="A13" s="1" t="s">
        <v>44</v>
      </c>
      <c r="O13" s="9" t="s">
        <v>77</v>
      </c>
    </row>
    <row r="14" spans="1:30" x14ac:dyDescent="0.25">
      <c r="A14" s="1" t="s">
        <v>1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O14" s="9" t="s">
        <v>1</v>
      </c>
      <c r="P14">
        <v>1</v>
      </c>
      <c r="Q14">
        <v>2</v>
      </c>
      <c r="R14">
        <v>3</v>
      </c>
      <c r="S14">
        <v>4</v>
      </c>
      <c r="T14">
        <v>5</v>
      </c>
      <c r="U14">
        <v>6</v>
      </c>
      <c r="V14">
        <v>7</v>
      </c>
      <c r="W14">
        <v>8</v>
      </c>
      <c r="X14">
        <v>9</v>
      </c>
      <c r="Y14">
        <v>10</v>
      </c>
      <c r="Z14">
        <v>11</v>
      </c>
      <c r="AA14">
        <v>12</v>
      </c>
      <c r="AC14" s="2" t="s">
        <v>41</v>
      </c>
    </row>
    <row r="15" spans="1:30" x14ac:dyDescent="0.25">
      <c r="A15" s="1" t="s">
        <v>2</v>
      </c>
      <c r="B15">
        <v>0.13521</v>
      </c>
      <c r="C15">
        <v>0.26090999999999998</v>
      </c>
      <c r="D15">
        <v>0.12517</v>
      </c>
      <c r="E15">
        <v>0.11126</v>
      </c>
      <c r="F15">
        <v>0.16833999999999999</v>
      </c>
      <c r="G15">
        <v>6.6042000000000003E-2</v>
      </c>
      <c r="H15">
        <v>0.14218</v>
      </c>
      <c r="I15">
        <v>0.22145999999999999</v>
      </c>
      <c r="J15">
        <v>0.12411999999999999</v>
      </c>
      <c r="K15">
        <v>0.11694</v>
      </c>
      <c r="L15">
        <v>0.14646999999999999</v>
      </c>
      <c r="M15">
        <v>6.2330000000000003E-2</v>
      </c>
      <c r="O15" s="9" t="s">
        <v>2</v>
      </c>
      <c r="P15">
        <f>B15</f>
        <v>0.13521</v>
      </c>
      <c r="Q15">
        <f t="shared" ref="Q15:AA15" si="13">C15</f>
        <v>0.26090999999999998</v>
      </c>
      <c r="R15">
        <f t="shared" si="13"/>
        <v>0.12517</v>
      </c>
      <c r="S15">
        <f t="shared" si="13"/>
        <v>0.11126</v>
      </c>
      <c r="T15">
        <f t="shared" si="13"/>
        <v>0.16833999999999999</v>
      </c>
      <c r="U15">
        <f t="shared" si="13"/>
        <v>6.6042000000000003E-2</v>
      </c>
      <c r="V15">
        <f t="shared" si="13"/>
        <v>0.14218</v>
      </c>
      <c r="W15">
        <f t="shared" si="13"/>
        <v>0.22145999999999999</v>
      </c>
      <c r="X15">
        <f t="shared" si="13"/>
        <v>0.12411999999999999</v>
      </c>
      <c r="Y15">
        <f t="shared" si="13"/>
        <v>0.11694</v>
      </c>
      <c r="Z15">
        <f t="shared" si="13"/>
        <v>0.14646999999999999</v>
      </c>
      <c r="AA15">
        <f t="shared" si="13"/>
        <v>6.2330000000000003E-2</v>
      </c>
      <c r="AC15" t="s">
        <v>12</v>
      </c>
      <c r="AD15">
        <f>AVERAGE(U21,U22,AA21,AA22)</f>
        <v>3.3323499999999999</v>
      </c>
    </row>
    <row r="16" spans="1:30" x14ac:dyDescent="0.25">
      <c r="A16" s="1" t="s">
        <v>3</v>
      </c>
      <c r="B16">
        <v>9.5444000000000001E-2</v>
      </c>
      <c r="C16">
        <v>9.4709000000000002E-2</v>
      </c>
      <c r="D16">
        <v>0.1105</v>
      </c>
      <c r="E16">
        <v>0.10774</v>
      </c>
      <c r="F16">
        <v>8.8921E-2</v>
      </c>
      <c r="G16">
        <v>6.3446000000000002E-2</v>
      </c>
      <c r="H16">
        <v>9.4186000000000006E-2</v>
      </c>
      <c r="I16">
        <v>9.6143000000000006E-2</v>
      </c>
      <c r="J16">
        <v>0.11552999999999999</v>
      </c>
      <c r="K16">
        <v>9.9735000000000004E-2</v>
      </c>
      <c r="L16">
        <v>8.9636999999999994E-2</v>
      </c>
      <c r="M16">
        <v>6.7180000000000004E-2</v>
      </c>
      <c r="O16" s="9" t="s">
        <v>3</v>
      </c>
      <c r="P16">
        <f t="shared" ref="P16:P22" si="14">B16</f>
        <v>9.5444000000000001E-2</v>
      </c>
      <c r="Q16">
        <f t="shared" ref="Q16:Q22" si="15">C16</f>
        <v>9.4709000000000002E-2</v>
      </c>
      <c r="R16">
        <f t="shared" ref="R16:R22" si="16">D16</f>
        <v>0.1105</v>
      </c>
      <c r="S16">
        <f t="shared" ref="S16:S22" si="17">E16</f>
        <v>0.10774</v>
      </c>
      <c r="T16">
        <f t="shared" ref="T16:T22" si="18">F16</f>
        <v>8.8921E-2</v>
      </c>
      <c r="U16">
        <f t="shared" ref="U16:U22" si="19">G16</f>
        <v>6.3446000000000002E-2</v>
      </c>
      <c r="V16">
        <f t="shared" ref="V16:V22" si="20">H16</f>
        <v>9.4186000000000006E-2</v>
      </c>
      <c r="W16">
        <f t="shared" ref="W16:W22" si="21">I16</f>
        <v>9.6143000000000006E-2</v>
      </c>
      <c r="X16">
        <f t="shared" ref="X16:X22" si="22">J16</f>
        <v>0.11552999999999999</v>
      </c>
      <c r="Y16">
        <f t="shared" ref="Y16:Y22" si="23">K16</f>
        <v>9.9735000000000004E-2</v>
      </c>
      <c r="Z16">
        <f t="shared" ref="Z16:Z22" si="24">L16</f>
        <v>8.9636999999999994E-2</v>
      </c>
      <c r="AA16">
        <f t="shared" ref="AA16:AA22" si="25">M16</f>
        <v>6.7180000000000004E-2</v>
      </c>
      <c r="AC16" t="s">
        <v>13</v>
      </c>
      <c r="AD16">
        <f>AVERAGE(U15,U16,U17,U18,U19,U20,AA15,AA16,AA17,AA18,AA19,AA20,)</f>
        <v>6.8100384615384618E-2</v>
      </c>
    </row>
    <row r="17" spans="1:30" x14ac:dyDescent="0.25">
      <c r="A17" s="1" t="s">
        <v>4</v>
      </c>
      <c r="B17">
        <v>0.15498000000000001</v>
      </c>
      <c r="C17">
        <v>0.10548</v>
      </c>
      <c r="D17">
        <v>0.16717000000000001</v>
      </c>
      <c r="E17">
        <v>0.19675000000000001</v>
      </c>
      <c r="F17">
        <v>0.14152000000000001</v>
      </c>
      <c r="G17">
        <v>6.2896999999999995E-2</v>
      </c>
      <c r="H17">
        <v>0.14165</v>
      </c>
      <c r="I17">
        <v>9.2266000000000001E-2</v>
      </c>
      <c r="J17">
        <v>0.13966999999999999</v>
      </c>
      <c r="K17">
        <v>0.15809999999999999</v>
      </c>
      <c r="L17">
        <v>0.13597999999999999</v>
      </c>
      <c r="M17">
        <v>6.8043000000000006E-2</v>
      </c>
      <c r="O17" s="9" t="s">
        <v>4</v>
      </c>
      <c r="P17">
        <f t="shared" si="14"/>
        <v>0.15498000000000001</v>
      </c>
      <c r="Q17">
        <f t="shared" si="15"/>
        <v>0.10548</v>
      </c>
      <c r="R17">
        <f t="shared" si="16"/>
        <v>0.16717000000000001</v>
      </c>
      <c r="S17">
        <f t="shared" si="17"/>
        <v>0.19675000000000001</v>
      </c>
      <c r="T17">
        <f t="shared" si="18"/>
        <v>0.14152000000000001</v>
      </c>
      <c r="U17">
        <f t="shared" si="19"/>
        <v>6.2896999999999995E-2</v>
      </c>
      <c r="V17">
        <f t="shared" si="20"/>
        <v>0.14165</v>
      </c>
      <c r="W17">
        <f t="shared" si="21"/>
        <v>9.2266000000000001E-2</v>
      </c>
      <c r="X17">
        <f t="shared" si="22"/>
        <v>0.13966999999999999</v>
      </c>
      <c r="Y17">
        <f t="shared" si="23"/>
        <v>0.15809999999999999</v>
      </c>
      <c r="Z17">
        <f t="shared" si="24"/>
        <v>0.13597999999999999</v>
      </c>
      <c r="AA17">
        <f t="shared" si="25"/>
        <v>6.8043000000000006E-2</v>
      </c>
      <c r="AC17" t="s">
        <v>14</v>
      </c>
      <c r="AD17">
        <f>AD16+(0.35*AD15)</f>
        <v>1.2344228846153846</v>
      </c>
    </row>
    <row r="18" spans="1:30" x14ac:dyDescent="0.25">
      <c r="A18" s="1" t="s">
        <v>5</v>
      </c>
      <c r="B18">
        <v>0.1022</v>
      </c>
      <c r="C18">
        <v>0.1008</v>
      </c>
      <c r="D18">
        <v>0.12661</v>
      </c>
      <c r="E18">
        <v>0.11069</v>
      </c>
      <c r="F18">
        <v>9.2830999999999997E-2</v>
      </c>
      <c r="G18">
        <v>6.2407999999999998E-2</v>
      </c>
      <c r="H18">
        <v>8.6587999999999998E-2</v>
      </c>
      <c r="I18">
        <v>9.0832999999999997E-2</v>
      </c>
      <c r="J18">
        <v>0.12998000000000001</v>
      </c>
      <c r="K18">
        <v>0.10389</v>
      </c>
      <c r="L18">
        <v>8.8067000000000006E-2</v>
      </c>
      <c r="M18">
        <v>6.5231999999999998E-2</v>
      </c>
      <c r="O18" s="9" t="s">
        <v>5</v>
      </c>
      <c r="P18">
        <f t="shared" si="14"/>
        <v>0.1022</v>
      </c>
      <c r="Q18">
        <f t="shared" si="15"/>
        <v>0.1008</v>
      </c>
      <c r="R18">
        <f t="shared" si="16"/>
        <v>0.12661</v>
      </c>
      <c r="S18">
        <f t="shared" si="17"/>
        <v>0.11069</v>
      </c>
      <c r="T18">
        <f t="shared" si="18"/>
        <v>9.2830999999999997E-2</v>
      </c>
      <c r="U18">
        <f t="shared" si="19"/>
        <v>6.2407999999999998E-2</v>
      </c>
      <c r="V18">
        <f t="shared" si="20"/>
        <v>8.6587999999999998E-2</v>
      </c>
      <c r="W18">
        <f t="shared" si="21"/>
        <v>9.0832999999999997E-2</v>
      </c>
      <c r="X18">
        <f t="shared" si="22"/>
        <v>0.12998000000000001</v>
      </c>
      <c r="Y18">
        <f t="shared" si="23"/>
        <v>0.10389</v>
      </c>
      <c r="Z18">
        <f t="shared" si="24"/>
        <v>8.8067000000000006E-2</v>
      </c>
      <c r="AA18">
        <f t="shared" si="25"/>
        <v>6.5231999999999998E-2</v>
      </c>
      <c r="AC18" t="s">
        <v>15</v>
      </c>
      <c r="AD18">
        <f>AD16+(0.25*AD15)</f>
        <v>0.90118788461538457</v>
      </c>
    </row>
    <row r="19" spans="1:30" x14ac:dyDescent="0.25">
      <c r="A19" s="1" t="s">
        <v>6</v>
      </c>
      <c r="B19">
        <v>0.10621</v>
      </c>
      <c r="C19">
        <v>0.77739999999999998</v>
      </c>
      <c r="D19">
        <v>0.12024</v>
      </c>
      <c r="E19">
        <v>9.1103000000000003E-2</v>
      </c>
      <c r="F19">
        <v>8.9962E-2</v>
      </c>
      <c r="G19">
        <v>6.2406999999999997E-2</v>
      </c>
      <c r="H19">
        <v>8.5226999999999997E-2</v>
      </c>
      <c r="I19">
        <v>0.69655999999999996</v>
      </c>
      <c r="J19">
        <v>0.10517</v>
      </c>
      <c r="K19">
        <v>9.6419000000000005E-2</v>
      </c>
      <c r="L19">
        <v>9.3435000000000004E-2</v>
      </c>
      <c r="M19">
        <v>6.198E-2</v>
      </c>
      <c r="O19" s="9" t="s">
        <v>6</v>
      </c>
      <c r="P19">
        <f t="shared" si="14"/>
        <v>0.10621</v>
      </c>
      <c r="Q19">
        <f t="shared" si="15"/>
        <v>0.77739999999999998</v>
      </c>
      <c r="R19">
        <f t="shared" si="16"/>
        <v>0.12024</v>
      </c>
      <c r="S19">
        <f t="shared" si="17"/>
        <v>9.1103000000000003E-2</v>
      </c>
      <c r="T19">
        <f t="shared" si="18"/>
        <v>8.9962E-2</v>
      </c>
      <c r="U19">
        <f t="shared" si="19"/>
        <v>6.2406999999999997E-2</v>
      </c>
      <c r="V19">
        <f t="shared" si="20"/>
        <v>8.5226999999999997E-2</v>
      </c>
      <c r="W19">
        <f t="shared" si="21"/>
        <v>0.69655999999999996</v>
      </c>
      <c r="X19">
        <f t="shared" si="22"/>
        <v>0.10517</v>
      </c>
      <c r="Y19">
        <f t="shared" si="23"/>
        <v>9.6419000000000005E-2</v>
      </c>
      <c r="Z19">
        <f t="shared" si="24"/>
        <v>9.3435000000000004E-2</v>
      </c>
      <c r="AA19">
        <f t="shared" si="25"/>
        <v>6.198E-2</v>
      </c>
      <c r="AC19" t="s">
        <v>16</v>
      </c>
      <c r="AD19">
        <f>AD15/AD16</f>
        <v>48.932910127018367</v>
      </c>
    </row>
    <row r="20" spans="1:30" x14ac:dyDescent="0.25">
      <c r="A20" s="1" t="s">
        <v>7</v>
      </c>
      <c r="B20">
        <v>8.4952E-2</v>
      </c>
      <c r="C20">
        <v>0.22356000000000001</v>
      </c>
      <c r="D20">
        <v>0.14535000000000001</v>
      </c>
      <c r="E20">
        <v>0.19422</v>
      </c>
      <c r="F20">
        <v>0.11448</v>
      </c>
      <c r="G20">
        <v>0.12801000000000001</v>
      </c>
      <c r="H20">
        <v>8.1436999999999996E-2</v>
      </c>
      <c r="I20">
        <v>0.22619</v>
      </c>
      <c r="J20">
        <v>0.12734999999999999</v>
      </c>
      <c r="K20">
        <v>0.18748999999999999</v>
      </c>
      <c r="L20">
        <v>0.10876</v>
      </c>
      <c r="M20">
        <v>0.11533</v>
      </c>
      <c r="O20" s="9" t="s">
        <v>7</v>
      </c>
      <c r="P20">
        <f t="shared" si="14"/>
        <v>8.4952E-2</v>
      </c>
      <c r="Q20">
        <f t="shared" si="15"/>
        <v>0.22356000000000001</v>
      </c>
      <c r="R20">
        <f t="shared" si="16"/>
        <v>0.14535000000000001</v>
      </c>
      <c r="S20">
        <f t="shared" si="17"/>
        <v>0.19422</v>
      </c>
      <c r="T20">
        <f t="shared" si="18"/>
        <v>0.11448</v>
      </c>
      <c r="U20">
        <f t="shared" si="19"/>
        <v>0.12801000000000001</v>
      </c>
      <c r="V20">
        <f t="shared" si="20"/>
        <v>8.1436999999999996E-2</v>
      </c>
      <c r="W20">
        <f t="shared" si="21"/>
        <v>0.22619</v>
      </c>
      <c r="X20">
        <f t="shared" si="22"/>
        <v>0.12734999999999999</v>
      </c>
      <c r="Y20">
        <f t="shared" si="23"/>
        <v>0.18748999999999999</v>
      </c>
      <c r="Z20">
        <f t="shared" si="24"/>
        <v>0.10876</v>
      </c>
      <c r="AA20">
        <f t="shared" si="25"/>
        <v>0.11533</v>
      </c>
    </row>
    <row r="21" spans="1:30" x14ac:dyDescent="0.25">
      <c r="A21" s="1" t="s">
        <v>8</v>
      </c>
      <c r="B21">
        <v>0.11217000000000001</v>
      </c>
      <c r="C21">
        <v>0.15476999999999999</v>
      </c>
      <c r="D21">
        <v>9.7373000000000001E-2</v>
      </c>
      <c r="E21">
        <v>8.9344000000000007E-2</v>
      </c>
      <c r="F21">
        <v>0.12467</v>
      </c>
      <c r="G21">
        <v>3.3384</v>
      </c>
      <c r="H21">
        <v>0.10062</v>
      </c>
      <c r="I21">
        <v>0.15537000000000001</v>
      </c>
      <c r="J21">
        <v>9.1271000000000005E-2</v>
      </c>
      <c r="K21">
        <v>9.4624E-2</v>
      </c>
      <c r="L21">
        <v>0.12003999999999999</v>
      </c>
      <c r="M21">
        <v>3.2942</v>
      </c>
      <c r="O21" s="9" t="s">
        <v>8</v>
      </c>
      <c r="P21">
        <f t="shared" si="14"/>
        <v>0.11217000000000001</v>
      </c>
      <c r="Q21">
        <f t="shared" si="15"/>
        <v>0.15476999999999999</v>
      </c>
      <c r="R21">
        <f t="shared" si="16"/>
        <v>9.7373000000000001E-2</v>
      </c>
      <c r="S21">
        <f t="shared" si="17"/>
        <v>8.9344000000000007E-2</v>
      </c>
      <c r="T21">
        <f t="shared" si="18"/>
        <v>0.12467</v>
      </c>
      <c r="U21">
        <f t="shared" si="19"/>
        <v>3.3384</v>
      </c>
      <c r="V21">
        <f t="shared" si="20"/>
        <v>0.10062</v>
      </c>
      <c r="W21">
        <f t="shared" si="21"/>
        <v>0.15537000000000001</v>
      </c>
      <c r="X21">
        <f t="shared" si="22"/>
        <v>9.1271000000000005E-2</v>
      </c>
      <c r="Y21">
        <f t="shared" si="23"/>
        <v>9.4624E-2</v>
      </c>
      <c r="Z21">
        <f t="shared" si="24"/>
        <v>0.12003999999999999</v>
      </c>
      <c r="AA21">
        <f t="shared" si="25"/>
        <v>3.2942</v>
      </c>
      <c r="AC21" t="s">
        <v>17</v>
      </c>
      <c r="AD21" t="str">
        <f>IF((AND(AD15&gt;2,AD15&lt;3,AD19&gt;10)),"PASS","FAIL")</f>
        <v>FAIL</v>
      </c>
    </row>
    <row r="22" spans="1:30" x14ac:dyDescent="0.25">
      <c r="A22" s="1" t="s">
        <v>9</v>
      </c>
      <c r="B22">
        <v>0.12318999999999999</v>
      </c>
      <c r="C22">
        <v>0.14415</v>
      </c>
      <c r="D22">
        <v>6.3691999999999999E-2</v>
      </c>
      <c r="E22">
        <v>0.10671</v>
      </c>
      <c r="F22">
        <v>0.18562000000000001</v>
      </c>
      <c r="G22">
        <v>3.3706999999999998</v>
      </c>
      <c r="H22">
        <v>0.11759</v>
      </c>
      <c r="I22">
        <v>0.13703000000000001</v>
      </c>
      <c r="J22">
        <v>6.3135999999999998E-2</v>
      </c>
      <c r="K22">
        <v>0.10006</v>
      </c>
      <c r="L22">
        <v>0.17702999999999999</v>
      </c>
      <c r="M22">
        <v>3.3260999999999998</v>
      </c>
      <c r="O22" s="9" t="s">
        <v>9</v>
      </c>
      <c r="P22">
        <f t="shared" si="14"/>
        <v>0.12318999999999999</v>
      </c>
      <c r="Q22">
        <f t="shared" si="15"/>
        <v>0.14415</v>
      </c>
      <c r="R22">
        <f t="shared" si="16"/>
        <v>6.3691999999999999E-2</v>
      </c>
      <c r="S22">
        <f t="shared" si="17"/>
        <v>0.10671</v>
      </c>
      <c r="T22">
        <f t="shared" si="18"/>
        <v>0.18562000000000001</v>
      </c>
      <c r="U22">
        <f t="shared" si="19"/>
        <v>3.3706999999999998</v>
      </c>
      <c r="V22">
        <f t="shared" si="20"/>
        <v>0.11759</v>
      </c>
      <c r="W22">
        <f t="shared" si="21"/>
        <v>0.13703000000000001</v>
      </c>
      <c r="X22">
        <f t="shared" si="22"/>
        <v>6.3135999999999998E-2</v>
      </c>
      <c r="Y22">
        <f t="shared" si="23"/>
        <v>0.10006</v>
      </c>
      <c r="Z22">
        <f t="shared" si="24"/>
        <v>0.17702999999999999</v>
      </c>
      <c r="AA22">
        <f t="shared" si="25"/>
        <v>3.3260999999999998</v>
      </c>
    </row>
    <row r="23" spans="1:30" x14ac:dyDescent="0.25">
      <c r="A23" s="1" t="s">
        <v>45</v>
      </c>
      <c r="O23" s="9" t="s">
        <v>78</v>
      </c>
    </row>
    <row r="24" spans="1:30" x14ac:dyDescent="0.25">
      <c r="A24" s="1" t="s">
        <v>1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O24" s="9" t="s">
        <v>1</v>
      </c>
      <c r="P24">
        <v>1</v>
      </c>
      <c r="Q24">
        <v>2</v>
      </c>
      <c r="R24">
        <v>3</v>
      </c>
      <c r="S24">
        <v>4</v>
      </c>
      <c r="T24">
        <v>5</v>
      </c>
      <c r="U24">
        <v>6</v>
      </c>
      <c r="V24">
        <v>7</v>
      </c>
      <c r="W24">
        <v>8</v>
      </c>
      <c r="X24">
        <v>9</v>
      </c>
      <c r="Y24">
        <v>10</v>
      </c>
      <c r="Z24">
        <v>11</v>
      </c>
      <c r="AA24">
        <v>12</v>
      </c>
      <c r="AC24" s="2" t="s">
        <v>42</v>
      </c>
    </row>
    <row r="25" spans="1:30" x14ac:dyDescent="0.25">
      <c r="A25" s="1" t="s">
        <v>2</v>
      </c>
      <c r="B25">
        <v>0.17127000000000001</v>
      </c>
      <c r="C25">
        <v>0.35428999999999999</v>
      </c>
      <c r="D25">
        <v>0.15728</v>
      </c>
      <c r="E25">
        <v>0.13344</v>
      </c>
      <c r="F25">
        <v>0.21944</v>
      </c>
      <c r="G25">
        <v>6.6598000000000004E-2</v>
      </c>
      <c r="H25">
        <v>0.18239</v>
      </c>
      <c r="I25">
        <v>0.29693999999999998</v>
      </c>
      <c r="J25">
        <v>0.15595000000000001</v>
      </c>
      <c r="K25">
        <v>0.14249000000000001</v>
      </c>
      <c r="L25">
        <v>0.18611</v>
      </c>
      <c r="M25">
        <v>6.3868999999999995E-2</v>
      </c>
      <c r="O25" s="9" t="s">
        <v>2</v>
      </c>
      <c r="P25">
        <f>B25</f>
        <v>0.17127000000000001</v>
      </c>
      <c r="Q25">
        <f t="shared" ref="Q25:AA25" si="26">C25</f>
        <v>0.35428999999999999</v>
      </c>
      <c r="R25">
        <f t="shared" si="26"/>
        <v>0.15728</v>
      </c>
      <c r="S25">
        <f t="shared" si="26"/>
        <v>0.13344</v>
      </c>
      <c r="T25">
        <f t="shared" si="26"/>
        <v>0.21944</v>
      </c>
      <c r="U25">
        <f t="shared" si="26"/>
        <v>6.6598000000000004E-2</v>
      </c>
      <c r="V25">
        <f t="shared" si="26"/>
        <v>0.18239</v>
      </c>
      <c r="W25">
        <f t="shared" si="26"/>
        <v>0.29693999999999998</v>
      </c>
      <c r="X25">
        <f t="shared" si="26"/>
        <v>0.15595000000000001</v>
      </c>
      <c r="Y25">
        <f t="shared" si="26"/>
        <v>0.14249000000000001</v>
      </c>
      <c r="Z25">
        <f t="shared" si="26"/>
        <v>0.18611</v>
      </c>
      <c r="AA25">
        <f t="shared" si="26"/>
        <v>6.3868999999999995E-2</v>
      </c>
      <c r="AC25" t="s">
        <v>12</v>
      </c>
      <c r="AD25">
        <f>AVERAGE(U31,U32,AA31,AA32)</f>
        <v>3.4724750000000002</v>
      </c>
    </row>
    <row r="26" spans="1:30" x14ac:dyDescent="0.25">
      <c r="A26" s="1" t="s">
        <v>3</v>
      </c>
      <c r="B26">
        <v>0.11286</v>
      </c>
      <c r="C26">
        <v>0.11262999999999999</v>
      </c>
      <c r="D26">
        <v>0.13675999999999999</v>
      </c>
      <c r="E26">
        <v>0.12537000000000001</v>
      </c>
      <c r="F26">
        <v>0.10410999999999999</v>
      </c>
      <c r="G26">
        <v>6.3722000000000001E-2</v>
      </c>
      <c r="H26">
        <v>0.10969</v>
      </c>
      <c r="I26">
        <v>0.11108999999999999</v>
      </c>
      <c r="J26">
        <v>0.13914000000000001</v>
      </c>
      <c r="K26">
        <v>0.11637</v>
      </c>
      <c r="L26">
        <v>0.10367</v>
      </c>
      <c r="M26">
        <v>6.7515000000000006E-2</v>
      </c>
      <c r="O26" s="9" t="s">
        <v>3</v>
      </c>
      <c r="P26">
        <f t="shared" ref="P26:P32" si="27">B26</f>
        <v>0.11286</v>
      </c>
      <c r="Q26">
        <f t="shared" ref="Q26:Q32" si="28">C26</f>
        <v>0.11262999999999999</v>
      </c>
      <c r="R26">
        <f t="shared" ref="R26:R32" si="29">D26</f>
        <v>0.13675999999999999</v>
      </c>
      <c r="S26">
        <f t="shared" ref="S26:S32" si="30">E26</f>
        <v>0.12537000000000001</v>
      </c>
      <c r="T26">
        <f t="shared" ref="T26:T32" si="31">F26</f>
        <v>0.10410999999999999</v>
      </c>
      <c r="U26">
        <f t="shared" ref="U26:U32" si="32">G26</f>
        <v>6.3722000000000001E-2</v>
      </c>
      <c r="V26">
        <f t="shared" ref="V26:V32" si="33">H26</f>
        <v>0.10969</v>
      </c>
      <c r="W26">
        <f t="shared" ref="W26:W32" si="34">I26</f>
        <v>0.11108999999999999</v>
      </c>
      <c r="X26">
        <f t="shared" ref="X26:X32" si="35">J26</f>
        <v>0.13914000000000001</v>
      </c>
      <c r="Y26">
        <f t="shared" ref="Y26:Y32" si="36">K26</f>
        <v>0.11637</v>
      </c>
      <c r="Z26">
        <f t="shared" ref="Z26:Z32" si="37">L26</f>
        <v>0.10367</v>
      </c>
      <c r="AA26">
        <f t="shared" ref="AA26:AA32" si="38">M26</f>
        <v>6.7515000000000006E-2</v>
      </c>
      <c r="AC26" t="s">
        <v>13</v>
      </c>
      <c r="AD26">
        <f>AVERAGE(U25,U26,U27,U28,U29,U30,AA25,AA26,AA27,AA28,AA29,AA30,)</f>
        <v>7.3444846153846152E-2</v>
      </c>
    </row>
    <row r="27" spans="1:30" x14ac:dyDescent="0.25">
      <c r="A27" s="1" t="s">
        <v>4</v>
      </c>
      <c r="B27">
        <v>0.18995000000000001</v>
      </c>
      <c r="C27">
        <v>0.12464</v>
      </c>
      <c r="D27">
        <v>0.22525000000000001</v>
      </c>
      <c r="E27">
        <v>0.25935000000000002</v>
      </c>
      <c r="F27">
        <v>0.18273</v>
      </c>
      <c r="G27">
        <v>6.3176999999999997E-2</v>
      </c>
      <c r="H27">
        <v>0.18065999999999999</v>
      </c>
      <c r="I27">
        <v>0.10774</v>
      </c>
      <c r="J27">
        <v>0.1792</v>
      </c>
      <c r="K27">
        <v>0.20380000000000001</v>
      </c>
      <c r="L27">
        <v>0.16950000000000001</v>
      </c>
      <c r="M27">
        <v>6.9039000000000003E-2</v>
      </c>
      <c r="O27" s="9" t="s">
        <v>4</v>
      </c>
      <c r="P27">
        <f t="shared" si="27"/>
        <v>0.18995000000000001</v>
      </c>
      <c r="Q27">
        <f t="shared" si="28"/>
        <v>0.12464</v>
      </c>
      <c r="R27">
        <f t="shared" si="29"/>
        <v>0.22525000000000001</v>
      </c>
      <c r="S27">
        <f t="shared" si="30"/>
        <v>0.25935000000000002</v>
      </c>
      <c r="T27">
        <f t="shared" si="31"/>
        <v>0.18273</v>
      </c>
      <c r="U27">
        <f t="shared" si="32"/>
        <v>6.3176999999999997E-2</v>
      </c>
      <c r="V27">
        <f t="shared" si="33"/>
        <v>0.18065999999999999</v>
      </c>
      <c r="W27">
        <f t="shared" si="34"/>
        <v>0.10774</v>
      </c>
      <c r="X27">
        <f t="shared" si="35"/>
        <v>0.1792</v>
      </c>
      <c r="Y27">
        <f t="shared" si="36"/>
        <v>0.20380000000000001</v>
      </c>
      <c r="Z27">
        <f t="shared" si="37"/>
        <v>0.16950000000000001</v>
      </c>
      <c r="AA27">
        <f t="shared" si="38"/>
        <v>6.9039000000000003E-2</v>
      </c>
      <c r="AC27" t="s">
        <v>14</v>
      </c>
      <c r="AD27">
        <f>AD26+(0.35*AD25)</f>
        <v>1.2888110961538461</v>
      </c>
    </row>
    <row r="28" spans="1:30" x14ac:dyDescent="0.25">
      <c r="A28" s="1" t="s">
        <v>5</v>
      </c>
      <c r="B28">
        <v>0.11914</v>
      </c>
      <c r="C28">
        <v>0.11756</v>
      </c>
      <c r="D28">
        <v>0.16037000000000001</v>
      </c>
      <c r="E28">
        <v>0.13367000000000001</v>
      </c>
      <c r="F28">
        <v>0.10924</v>
      </c>
      <c r="G28">
        <v>6.2703999999999996E-2</v>
      </c>
      <c r="H28">
        <v>9.9978999999999998E-2</v>
      </c>
      <c r="I28">
        <v>0.10675999999999999</v>
      </c>
      <c r="J28">
        <v>0.16116</v>
      </c>
      <c r="K28">
        <v>0.12653</v>
      </c>
      <c r="L28">
        <v>0.1012</v>
      </c>
      <c r="M28">
        <v>6.5706000000000001E-2</v>
      </c>
      <c r="O28" s="9" t="s">
        <v>5</v>
      </c>
      <c r="P28">
        <f t="shared" si="27"/>
        <v>0.11914</v>
      </c>
      <c r="Q28">
        <f t="shared" si="28"/>
        <v>0.11756</v>
      </c>
      <c r="R28">
        <f t="shared" si="29"/>
        <v>0.16037000000000001</v>
      </c>
      <c r="S28">
        <f t="shared" si="30"/>
        <v>0.13367000000000001</v>
      </c>
      <c r="T28">
        <f t="shared" si="31"/>
        <v>0.10924</v>
      </c>
      <c r="U28">
        <f t="shared" si="32"/>
        <v>6.2703999999999996E-2</v>
      </c>
      <c r="V28">
        <f t="shared" si="33"/>
        <v>9.9978999999999998E-2</v>
      </c>
      <c r="W28">
        <f t="shared" si="34"/>
        <v>0.10675999999999999</v>
      </c>
      <c r="X28">
        <f t="shared" si="35"/>
        <v>0.16116</v>
      </c>
      <c r="Y28">
        <f t="shared" si="36"/>
        <v>0.12653</v>
      </c>
      <c r="Z28">
        <f t="shared" si="37"/>
        <v>0.1012</v>
      </c>
      <c r="AA28">
        <f t="shared" si="38"/>
        <v>6.5706000000000001E-2</v>
      </c>
      <c r="AC28" t="s">
        <v>15</v>
      </c>
      <c r="AD28">
        <f>AD26+(0.25*AD25)</f>
        <v>0.94156359615384622</v>
      </c>
    </row>
    <row r="29" spans="1:30" x14ac:dyDescent="0.25">
      <c r="A29" s="1" t="s">
        <v>6</v>
      </c>
      <c r="B29">
        <v>0.12371</v>
      </c>
      <c r="C29">
        <v>1.1154999999999999</v>
      </c>
      <c r="D29">
        <v>0.15065999999999999</v>
      </c>
      <c r="E29">
        <v>0.10599</v>
      </c>
      <c r="F29">
        <v>0.10503</v>
      </c>
      <c r="G29">
        <v>6.2759999999999996E-2</v>
      </c>
      <c r="H29">
        <v>9.7521999999999998E-2</v>
      </c>
      <c r="I29">
        <v>0.99297999999999997</v>
      </c>
      <c r="J29">
        <v>0.12683</v>
      </c>
      <c r="K29">
        <v>0.11031000000000001</v>
      </c>
      <c r="L29">
        <v>0.1089</v>
      </c>
      <c r="M29">
        <v>6.2422999999999999E-2</v>
      </c>
      <c r="O29" s="9" t="s">
        <v>6</v>
      </c>
      <c r="P29">
        <f t="shared" si="27"/>
        <v>0.12371</v>
      </c>
      <c r="Q29">
        <f t="shared" si="28"/>
        <v>1.1154999999999999</v>
      </c>
      <c r="R29">
        <f t="shared" si="29"/>
        <v>0.15065999999999999</v>
      </c>
      <c r="S29">
        <f t="shared" si="30"/>
        <v>0.10599</v>
      </c>
      <c r="T29">
        <f t="shared" si="31"/>
        <v>0.10503</v>
      </c>
      <c r="U29">
        <f t="shared" si="32"/>
        <v>6.2759999999999996E-2</v>
      </c>
      <c r="V29">
        <f t="shared" si="33"/>
        <v>9.7521999999999998E-2</v>
      </c>
      <c r="W29">
        <f t="shared" si="34"/>
        <v>0.99297999999999997</v>
      </c>
      <c r="X29">
        <f t="shared" si="35"/>
        <v>0.12683</v>
      </c>
      <c r="Y29">
        <f t="shared" si="36"/>
        <v>0.11031000000000001</v>
      </c>
      <c r="Z29">
        <f t="shared" si="37"/>
        <v>0.1089</v>
      </c>
      <c r="AA29">
        <f t="shared" si="38"/>
        <v>6.2422999999999999E-2</v>
      </c>
      <c r="AC29" t="s">
        <v>16</v>
      </c>
      <c r="AD29">
        <f>AD25/AD26</f>
        <v>47.280036406178162</v>
      </c>
    </row>
    <row r="30" spans="1:30" x14ac:dyDescent="0.25">
      <c r="A30" s="1" t="s">
        <v>7</v>
      </c>
      <c r="B30">
        <v>9.7778000000000004E-2</v>
      </c>
      <c r="C30">
        <v>0.30581999999999998</v>
      </c>
      <c r="D30">
        <v>0.18976999999999999</v>
      </c>
      <c r="E30">
        <v>0.26139000000000001</v>
      </c>
      <c r="F30">
        <v>0.14144999999999999</v>
      </c>
      <c r="G30">
        <v>0.1633</v>
      </c>
      <c r="H30">
        <v>9.2050000000000007E-2</v>
      </c>
      <c r="I30">
        <v>0.30820999999999998</v>
      </c>
      <c r="J30">
        <v>0.15709999999999999</v>
      </c>
      <c r="K30">
        <v>0.24847</v>
      </c>
      <c r="L30">
        <v>0.13447000000000001</v>
      </c>
      <c r="M30">
        <v>0.14396999999999999</v>
      </c>
      <c r="O30" s="9" t="s">
        <v>7</v>
      </c>
      <c r="P30">
        <f t="shared" si="27"/>
        <v>9.7778000000000004E-2</v>
      </c>
      <c r="Q30">
        <f t="shared" si="28"/>
        <v>0.30581999999999998</v>
      </c>
      <c r="R30">
        <f t="shared" si="29"/>
        <v>0.18976999999999999</v>
      </c>
      <c r="S30">
        <f t="shared" si="30"/>
        <v>0.26139000000000001</v>
      </c>
      <c r="T30">
        <f t="shared" si="31"/>
        <v>0.14144999999999999</v>
      </c>
      <c r="U30">
        <f t="shared" si="32"/>
        <v>0.1633</v>
      </c>
      <c r="V30">
        <f t="shared" si="33"/>
        <v>9.2050000000000007E-2</v>
      </c>
      <c r="W30">
        <f t="shared" si="34"/>
        <v>0.30820999999999998</v>
      </c>
      <c r="X30">
        <f t="shared" si="35"/>
        <v>0.15709999999999999</v>
      </c>
      <c r="Y30">
        <f t="shared" si="36"/>
        <v>0.24847</v>
      </c>
      <c r="Z30">
        <f t="shared" si="37"/>
        <v>0.13447000000000001</v>
      </c>
      <c r="AA30">
        <f t="shared" si="38"/>
        <v>0.14396999999999999</v>
      </c>
    </row>
    <row r="31" spans="1:30" x14ac:dyDescent="0.25">
      <c r="A31" s="1" t="s">
        <v>8</v>
      </c>
      <c r="B31">
        <v>0.13979</v>
      </c>
      <c r="C31">
        <v>0.20361000000000001</v>
      </c>
      <c r="D31">
        <v>0.11609999999999999</v>
      </c>
      <c r="E31">
        <v>0.10443</v>
      </c>
      <c r="F31">
        <v>0.15862000000000001</v>
      </c>
      <c r="G31">
        <v>3.4979</v>
      </c>
      <c r="H31">
        <v>0.1221</v>
      </c>
      <c r="I31">
        <v>0.20377000000000001</v>
      </c>
      <c r="J31">
        <v>0.10546999999999999</v>
      </c>
      <c r="K31">
        <v>0.10921</v>
      </c>
      <c r="L31">
        <v>0.14978</v>
      </c>
      <c r="M31">
        <v>3.4493</v>
      </c>
      <c r="O31" s="9" t="s">
        <v>8</v>
      </c>
      <c r="P31">
        <f t="shared" si="27"/>
        <v>0.13979</v>
      </c>
      <c r="Q31">
        <f t="shared" si="28"/>
        <v>0.20361000000000001</v>
      </c>
      <c r="R31">
        <f t="shared" si="29"/>
        <v>0.11609999999999999</v>
      </c>
      <c r="S31">
        <f t="shared" si="30"/>
        <v>0.10443</v>
      </c>
      <c r="T31">
        <f t="shared" si="31"/>
        <v>0.15862000000000001</v>
      </c>
      <c r="U31">
        <f t="shared" si="32"/>
        <v>3.4979</v>
      </c>
      <c r="V31">
        <f t="shared" si="33"/>
        <v>0.1221</v>
      </c>
      <c r="W31">
        <f t="shared" si="34"/>
        <v>0.20377000000000001</v>
      </c>
      <c r="X31">
        <f t="shared" si="35"/>
        <v>0.10546999999999999</v>
      </c>
      <c r="Y31">
        <f t="shared" si="36"/>
        <v>0.10921</v>
      </c>
      <c r="Z31">
        <f t="shared" si="37"/>
        <v>0.14978</v>
      </c>
      <c r="AA31">
        <f t="shared" si="38"/>
        <v>3.4493</v>
      </c>
      <c r="AC31" t="s">
        <v>17</v>
      </c>
      <c r="AD31" t="str">
        <f>IF((AND(AD25&gt;2,AD25&lt;3,AD29&gt;10)),"PASS","FAIL")</f>
        <v>FAIL</v>
      </c>
    </row>
    <row r="32" spans="1:30" x14ac:dyDescent="0.25">
      <c r="A32" s="1" t="s">
        <v>9</v>
      </c>
      <c r="B32">
        <v>0.15217</v>
      </c>
      <c r="C32">
        <v>0.18834000000000001</v>
      </c>
      <c r="D32">
        <v>6.4314999999999997E-2</v>
      </c>
      <c r="E32">
        <v>0.13031999999999999</v>
      </c>
      <c r="F32">
        <v>0.24701999999999999</v>
      </c>
      <c r="G32">
        <v>3.4796</v>
      </c>
      <c r="H32">
        <v>0.14585000000000001</v>
      </c>
      <c r="I32">
        <v>0.17646999999999999</v>
      </c>
      <c r="J32">
        <v>6.3578999999999997E-2</v>
      </c>
      <c r="K32">
        <v>0.12051000000000001</v>
      </c>
      <c r="L32">
        <v>0.23993</v>
      </c>
      <c r="M32">
        <v>3.4630999999999998</v>
      </c>
      <c r="O32" s="9" t="s">
        <v>9</v>
      </c>
      <c r="P32">
        <f t="shared" si="27"/>
        <v>0.15217</v>
      </c>
      <c r="Q32">
        <f t="shared" si="28"/>
        <v>0.18834000000000001</v>
      </c>
      <c r="R32">
        <f t="shared" si="29"/>
        <v>6.4314999999999997E-2</v>
      </c>
      <c r="S32">
        <f t="shared" si="30"/>
        <v>0.13031999999999999</v>
      </c>
      <c r="T32">
        <f t="shared" si="31"/>
        <v>0.24701999999999999</v>
      </c>
      <c r="U32">
        <f t="shared" si="32"/>
        <v>3.4796</v>
      </c>
      <c r="V32">
        <f t="shared" si="33"/>
        <v>0.14585000000000001</v>
      </c>
      <c r="W32">
        <f t="shared" si="34"/>
        <v>0.17646999999999999</v>
      </c>
      <c r="X32">
        <f t="shared" si="35"/>
        <v>6.3578999999999997E-2</v>
      </c>
      <c r="Y32">
        <f t="shared" si="36"/>
        <v>0.12051000000000001</v>
      </c>
      <c r="Z32">
        <f t="shared" si="37"/>
        <v>0.23993</v>
      </c>
      <c r="AA32">
        <f t="shared" si="38"/>
        <v>3.4630999999999998</v>
      </c>
    </row>
    <row r="33" spans="1:13" x14ac:dyDescent="0.25">
      <c r="A33" s="1" t="s">
        <v>10</v>
      </c>
    </row>
    <row r="34" spans="1:13" x14ac:dyDescent="0.25">
      <c r="A34" s="1" t="s">
        <v>1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I34">
        <v>8</v>
      </c>
      <c r="J34">
        <v>9</v>
      </c>
      <c r="K34">
        <v>10</v>
      </c>
      <c r="L34">
        <v>11</v>
      </c>
      <c r="M34">
        <v>12</v>
      </c>
    </row>
    <row r="35" spans="1:13" x14ac:dyDescent="0.25">
      <c r="A35" s="1" t="s">
        <v>2</v>
      </c>
      <c r="B35">
        <v>0.10415000000000001</v>
      </c>
      <c r="C35">
        <v>0.13336999999999999</v>
      </c>
      <c r="D35">
        <v>8.3973000000000006E-2</v>
      </c>
      <c r="E35">
        <v>8.3465999999999999E-2</v>
      </c>
      <c r="F35">
        <v>0.10539</v>
      </c>
      <c r="G35">
        <v>6.3257999999999995E-2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</row>
    <row r="36" spans="1:13" x14ac:dyDescent="0.25">
      <c r="A36" s="1" t="s">
        <v>3</v>
      </c>
      <c r="B36">
        <v>7.7710000000000001E-2</v>
      </c>
      <c r="C36">
        <v>7.9385999999999998E-2</v>
      </c>
      <c r="D36">
        <v>8.9085999999999999E-2</v>
      </c>
      <c r="E36">
        <v>8.6267999999999997E-2</v>
      </c>
      <c r="F36">
        <v>7.5974E-2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</row>
    <row r="37" spans="1:13" x14ac:dyDescent="0.25">
      <c r="A37" s="1" t="s">
        <v>4</v>
      </c>
      <c r="B37">
        <v>0.11099000000000001</v>
      </c>
      <c r="C37">
        <v>8.0806000000000003E-2</v>
      </c>
      <c r="D37">
        <v>0.10077</v>
      </c>
      <c r="E37">
        <v>0.12012</v>
      </c>
      <c r="F37">
        <v>0.10025000000000001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</row>
    <row r="38" spans="1:13" x14ac:dyDescent="0.25">
      <c r="A38" s="1" t="s">
        <v>5</v>
      </c>
      <c r="B38">
        <v>7.8409999999999994E-2</v>
      </c>
      <c r="C38">
        <v>7.7840000000000006E-2</v>
      </c>
      <c r="D38">
        <v>9.0815999999999994E-2</v>
      </c>
      <c r="E38">
        <v>8.4242999999999998E-2</v>
      </c>
      <c r="F38">
        <v>7.4968000000000007E-2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</row>
    <row r="39" spans="1:13" x14ac:dyDescent="0.25">
      <c r="A39" s="1" t="s">
        <v>6</v>
      </c>
      <c r="B39">
        <v>8.1182000000000004E-2</v>
      </c>
      <c r="C39">
        <v>0.40622999999999998</v>
      </c>
      <c r="D39">
        <v>8.6493E-2</v>
      </c>
      <c r="E39">
        <v>7.9226000000000005E-2</v>
      </c>
      <c r="F39">
        <v>7.6160000000000005E-2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</row>
    <row r="40" spans="1:13" x14ac:dyDescent="0.25">
      <c r="A40" s="1" t="s">
        <v>7</v>
      </c>
      <c r="B40">
        <v>7.1897000000000003E-2</v>
      </c>
      <c r="C40">
        <v>0.14424000000000001</v>
      </c>
      <c r="D40">
        <v>0.10004</v>
      </c>
      <c r="E40">
        <v>0.12919</v>
      </c>
      <c r="F40">
        <v>8.5857000000000003E-2</v>
      </c>
      <c r="G40">
        <v>9.0800000000000006E-2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</row>
    <row r="41" spans="1:13" x14ac:dyDescent="0.25">
      <c r="A41" s="1" t="s">
        <v>8</v>
      </c>
      <c r="B41">
        <v>8.3828E-2</v>
      </c>
      <c r="C41">
        <v>0.11018</v>
      </c>
      <c r="D41">
        <v>7.7863000000000002E-2</v>
      </c>
      <c r="E41">
        <v>7.7001E-2</v>
      </c>
      <c r="F41">
        <v>9.1062000000000004E-2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</row>
    <row r="42" spans="1:13" x14ac:dyDescent="0.25">
      <c r="A42" s="1" t="s">
        <v>9</v>
      </c>
      <c r="B42">
        <v>9.2838000000000004E-2</v>
      </c>
      <c r="C42">
        <v>9.9940000000000001E-2</v>
      </c>
      <c r="D42">
        <v>6.2558000000000002E-2</v>
      </c>
      <c r="E42">
        <v>8.1414E-2</v>
      </c>
      <c r="F42">
        <v>0.11967</v>
      </c>
      <c r="G42">
        <v>2.4653</v>
      </c>
      <c r="H42" s="1" t="s">
        <v>20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</row>
    <row r="43" spans="1:13" x14ac:dyDescent="0.25">
      <c r="A43" s="1" t="s">
        <v>46</v>
      </c>
    </row>
    <row r="44" spans="1:13" x14ac:dyDescent="0.25">
      <c r="A44" s="1" t="s">
        <v>1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5">
      <c r="A45" s="1" t="s">
        <v>2</v>
      </c>
      <c r="B45">
        <v>0.13869999999999999</v>
      </c>
      <c r="C45">
        <v>0.24118000000000001</v>
      </c>
      <c r="D45">
        <v>0.12465</v>
      </c>
      <c r="E45">
        <v>0.11409999999999999</v>
      </c>
      <c r="F45">
        <v>0.15740000000000001</v>
      </c>
      <c r="G45">
        <v>6.4197000000000004E-2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</row>
    <row r="46" spans="1:13" x14ac:dyDescent="0.25">
      <c r="A46" s="1" t="s">
        <v>3</v>
      </c>
      <c r="B46">
        <v>9.4814999999999997E-2</v>
      </c>
      <c r="C46">
        <v>9.5425999999999997E-2</v>
      </c>
      <c r="D46">
        <v>0.11302</v>
      </c>
      <c r="E46">
        <v>0.10373</v>
      </c>
      <c r="F46">
        <v>8.9278999999999997E-2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</row>
    <row r="47" spans="1:13" x14ac:dyDescent="0.25">
      <c r="A47" s="1" t="s">
        <v>4</v>
      </c>
      <c r="B47">
        <v>0.14832000000000001</v>
      </c>
      <c r="C47">
        <v>9.8871000000000001E-2</v>
      </c>
      <c r="D47">
        <v>0.15342</v>
      </c>
      <c r="E47">
        <v>0.17741999999999999</v>
      </c>
      <c r="F47">
        <v>0.13875000000000001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</row>
    <row r="48" spans="1:13" x14ac:dyDescent="0.25">
      <c r="A48" s="1" t="s">
        <v>5</v>
      </c>
      <c r="B48">
        <v>9.4393000000000005E-2</v>
      </c>
      <c r="C48">
        <v>9.5815999999999998E-2</v>
      </c>
      <c r="D48">
        <v>0.12828999999999999</v>
      </c>
      <c r="E48">
        <v>0.10729</v>
      </c>
      <c r="F48">
        <v>9.0449000000000002E-2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</row>
    <row r="49" spans="1:13" x14ac:dyDescent="0.25">
      <c r="A49" s="1" t="s">
        <v>6</v>
      </c>
      <c r="B49">
        <v>9.5717999999999998E-2</v>
      </c>
      <c r="C49">
        <v>0.73697999999999997</v>
      </c>
      <c r="D49">
        <v>0.11271</v>
      </c>
      <c r="E49">
        <v>9.3760999999999997E-2</v>
      </c>
      <c r="F49">
        <v>9.1698000000000002E-2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</row>
    <row r="50" spans="1:13" x14ac:dyDescent="0.25">
      <c r="A50" s="1" t="s">
        <v>7</v>
      </c>
      <c r="B50">
        <v>8.3194000000000004E-2</v>
      </c>
      <c r="C50">
        <v>0.22486999999999999</v>
      </c>
      <c r="D50">
        <v>0.13635</v>
      </c>
      <c r="E50">
        <v>0.19084999999999999</v>
      </c>
      <c r="F50">
        <v>0.11162</v>
      </c>
      <c r="G50">
        <v>0.12167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</row>
    <row r="51" spans="1:13" x14ac:dyDescent="0.25">
      <c r="A51" s="1" t="s">
        <v>8</v>
      </c>
      <c r="B51">
        <v>0.10639</v>
      </c>
      <c r="C51">
        <v>0.15507000000000001</v>
      </c>
      <c r="D51">
        <v>9.4322000000000003E-2</v>
      </c>
      <c r="E51">
        <v>9.1983999999999996E-2</v>
      </c>
      <c r="F51">
        <v>0.12236</v>
      </c>
      <c r="G51" s="1" t="s">
        <v>20</v>
      </c>
      <c r="H51" s="1" t="s">
        <v>20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</row>
    <row r="52" spans="1:13" x14ac:dyDescent="0.25">
      <c r="A52" s="1" t="s">
        <v>9</v>
      </c>
      <c r="B52">
        <v>0.12039</v>
      </c>
      <c r="C52">
        <v>0.14058999999999999</v>
      </c>
      <c r="D52">
        <v>6.3413999999999998E-2</v>
      </c>
      <c r="E52">
        <v>0.10339</v>
      </c>
      <c r="F52">
        <v>0.18132999999999999</v>
      </c>
      <c r="G52">
        <v>3.3323</v>
      </c>
      <c r="H52" s="1" t="s">
        <v>20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</row>
    <row r="53" spans="1:13" x14ac:dyDescent="0.25">
      <c r="A53" s="1" t="s">
        <v>47</v>
      </c>
    </row>
    <row r="54" spans="1:13" x14ac:dyDescent="0.25">
      <c r="A54" s="1" t="s">
        <v>1</v>
      </c>
      <c r="B54">
        <v>1</v>
      </c>
      <c r="C54">
        <v>2</v>
      </c>
      <c r="D54">
        <v>3</v>
      </c>
      <c r="E54">
        <v>4</v>
      </c>
      <c r="F54">
        <v>5</v>
      </c>
      <c r="G54">
        <v>6</v>
      </c>
      <c r="H54">
        <v>7</v>
      </c>
      <c r="I54">
        <v>8</v>
      </c>
      <c r="J54">
        <v>9</v>
      </c>
      <c r="K54">
        <v>10</v>
      </c>
      <c r="L54">
        <v>11</v>
      </c>
      <c r="M54">
        <v>12</v>
      </c>
    </row>
    <row r="55" spans="1:13" x14ac:dyDescent="0.25">
      <c r="A55" s="1" t="s">
        <v>2</v>
      </c>
      <c r="B55">
        <v>0.17682999999999999</v>
      </c>
      <c r="C55">
        <v>0.32561000000000001</v>
      </c>
      <c r="D55">
        <v>0.15662000000000001</v>
      </c>
      <c r="E55">
        <v>0.13797000000000001</v>
      </c>
      <c r="F55">
        <v>0.20277999999999999</v>
      </c>
      <c r="G55">
        <v>6.4751000000000003E-2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</row>
    <row r="56" spans="1:13" x14ac:dyDescent="0.25">
      <c r="A56" s="1" t="s">
        <v>3</v>
      </c>
      <c r="B56">
        <v>0.11126999999999999</v>
      </c>
      <c r="C56">
        <v>0.11186</v>
      </c>
      <c r="D56">
        <v>0.13794999999999999</v>
      </c>
      <c r="E56">
        <v>0.12087000000000001</v>
      </c>
      <c r="F56">
        <v>0.10389</v>
      </c>
      <c r="G56" s="1" t="s">
        <v>20</v>
      </c>
      <c r="H56" s="1" t="s">
        <v>20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</row>
    <row r="57" spans="1:13" x14ac:dyDescent="0.25">
      <c r="A57" s="1" t="s">
        <v>4</v>
      </c>
      <c r="B57">
        <v>0.18529999999999999</v>
      </c>
      <c r="C57">
        <v>0.11619</v>
      </c>
      <c r="D57">
        <v>0.20222000000000001</v>
      </c>
      <c r="E57">
        <v>0.23158000000000001</v>
      </c>
      <c r="F57">
        <v>0.17610999999999999</v>
      </c>
      <c r="G57" s="1" t="s">
        <v>20</v>
      </c>
      <c r="H57" s="1" t="s">
        <v>20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</row>
    <row r="58" spans="1:13" x14ac:dyDescent="0.25">
      <c r="A58" s="1" t="s">
        <v>5</v>
      </c>
      <c r="B58">
        <v>0.10956</v>
      </c>
      <c r="C58">
        <v>0.11216</v>
      </c>
      <c r="D58">
        <v>0.16077</v>
      </c>
      <c r="E58">
        <v>0.13009999999999999</v>
      </c>
      <c r="F58">
        <v>0.10521999999999999</v>
      </c>
      <c r="G58" s="1" t="s">
        <v>20</v>
      </c>
      <c r="H58" s="1" t="s">
        <v>20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</row>
    <row r="59" spans="1:13" x14ac:dyDescent="0.25">
      <c r="A59" s="1" t="s">
        <v>6</v>
      </c>
      <c r="B59">
        <v>0.11062</v>
      </c>
      <c r="C59">
        <v>1.0542</v>
      </c>
      <c r="D59">
        <v>0.13875000000000001</v>
      </c>
      <c r="E59">
        <v>0.10815</v>
      </c>
      <c r="F59">
        <v>0.10697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</row>
    <row r="60" spans="1:13" x14ac:dyDescent="0.25">
      <c r="A60" s="1" t="s">
        <v>7</v>
      </c>
      <c r="B60">
        <v>9.4913999999999998E-2</v>
      </c>
      <c r="C60">
        <v>0.30701000000000001</v>
      </c>
      <c r="D60">
        <v>0.17343</v>
      </c>
      <c r="E60">
        <v>0.25492999999999999</v>
      </c>
      <c r="F60">
        <v>0.13796</v>
      </c>
      <c r="G60">
        <v>0.15362999999999999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</row>
    <row r="61" spans="1:13" x14ac:dyDescent="0.25">
      <c r="A61" s="1" t="s">
        <v>8</v>
      </c>
      <c r="B61">
        <v>0.13095000000000001</v>
      </c>
      <c r="C61">
        <v>0.20369000000000001</v>
      </c>
      <c r="D61">
        <v>0.11079</v>
      </c>
      <c r="E61">
        <v>0.10682</v>
      </c>
      <c r="F61">
        <v>0.1542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</row>
    <row r="62" spans="1:13" x14ac:dyDescent="0.25">
      <c r="A62" s="1" t="s">
        <v>9</v>
      </c>
      <c r="B62">
        <v>0.14901</v>
      </c>
      <c r="C62">
        <v>0.18240999999999999</v>
      </c>
      <c r="D62">
        <v>6.3947000000000004E-2</v>
      </c>
      <c r="E62">
        <v>0.12540999999999999</v>
      </c>
      <c r="F62">
        <v>0.24346999999999999</v>
      </c>
      <c r="G62">
        <v>3.4725000000000001</v>
      </c>
      <c r="H62" s="1" t="s">
        <v>20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</row>
    <row r="63" spans="1:13" x14ac:dyDescent="0.25">
      <c r="A63" s="1" t="s">
        <v>48</v>
      </c>
    </row>
    <row r="64" spans="1:13" x14ac:dyDescent="0.25">
      <c r="A64" s="1" t="s">
        <v>21</v>
      </c>
    </row>
    <row r="65" spans="1:1" x14ac:dyDescent="0.25">
      <c r="A65" s="1" t="s">
        <v>22</v>
      </c>
    </row>
    <row r="66" spans="1:1" x14ac:dyDescent="0.25">
      <c r="A66" s="1" t="s">
        <v>49</v>
      </c>
    </row>
    <row r="67" spans="1:1" x14ac:dyDescent="0.25">
      <c r="A67" s="1" t="s">
        <v>50</v>
      </c>
    </row>
    <row r="68" spans="1:1" x14ac:dyDescent="0.25">
      <c r="A68" s="1" t="s">
        <v>23</v>
      </c>
    </row>
    <row r="69" spans="1:1" x14ac:dyDescent="0.25">
      <c r="A69" s="1" t="s">
        <v>24</v>
      </c>
    </row>
    <row r="70" spans="1:1" x14ac:dyDescent="0.25">
      <c r="A70" s="1" t="s">
        <v>25</v>
      </c>
    </row>
    <row r="72" spans="1:1" x14ac:dyDescent="0.25">
      <c r="A72" s="1" t="s">
        <v>26</v>
      </c>
    </row>
    <row r="73" spans="1:1" x14ac:dyDescent="0.25">
      <c r="A73" s="1" t="s">
        <v>27</v>
      </c>
    </row>
    <row r="74" spans="1:1" x14ac:dyDescent="0.25">
      <c r="A74" s="1" t="s">
        <v>28</v>
      </c>
    </row>
    <row r="75" spans="1:1" x14ac:dyDescent="0.25">
      <c r="A75" s="1" t="s">
        <v>29</v>
      </c>
    </row>
    <row r="76" spans="1:1" x14ac:dyDescent="0.25">
      <c r="A76" s="1" t="s">
        <v>30</v>
      </c>
    </row>
    <row r="77" spans="1:1" x14ac:dyDescent="0.25">
      <c r="A77" s="1" t="s">
        <v>31</v>
      </c>
    </row>
    <row r="78" spans="1:1" x14ac:dyDescent="0.25">
      <c r="A78" s="1" t="s">
        <v>32</v>
      </c>
    </row>
    <row r="79" spans="1:1" x14ac:dyDescent="0.25">
      <c r="A79" s="1" t="s">
        <v>33</v>
      </c>
    </row>
    <row r="80" spans="1:1" x14ac:dyDescent="0.25">
      <c r="A80" s="1" t="s">
        <v>34</v>
      </c>
    </row>
    <row r="81" spans="1:1" x14ac:dyDescent="0.25">
      <c r="A81" s="1" t="s">
        <v>35</v>
      </c>
    </row>
    <row r="82" spans="1:1" x14ac:dyDescent="0.25">
      <c r="A82" s="1" t="s">
        <v>36</v>
      </c>
    </row>
    <row r="83" spans="1:1" x14ac:dyDescent="0.25">
      <c r="A83" s="1" t="s">
        <v>37</v>
      </c>
    </row>
    <row r="84" spans="1:1" x14ac:dyDescent="0.25">
      <c r="A84" s="1" t="s">
        <v>38</v>
      </c>
    </row>
    <row r="85" spans="1:1" x14ac:dyDescent="0.25">
      <c r="A85" s="1" t="s">
        <v>39</v>
      </c>
    </row>
    <row r="86" spans="1:1" x14ac:dyDescent="0.25">
      <c r="A86" s="1" t="s">
        <v>51</v>
      </c>
    </row>
  </sheetData>
  <conditionalFormatting sqref="AD5">
    <cfRule type="cellIs" dxfId="47" priority="24" operator="greaterThan">
      <formula>3</formula>
    </cfRule>
    <cfRule type="cellIs" dxfId="46" priority="23" operator="lessThan">
      <formula>2</formula>
    </cfRule>
    <cfRule type="cellIs" dxfId="45" priority="22" operator="between">
      <formula>2</formula>
      <formula>3</formula>
    </cfRule>
  </conditionalFormatting>
  <conditionalFormatting sqref="AD9">
    <cfRule type="cellIs" dxfId="44" priority="21" operator="greaterThan">
      <formula>10</formula>
    </cfRule>
    <cfRule type="cellIs" dxfId="43" priority="20" operator="lessThan">
      <formula>10</formula>
    </cfRule>
  </conditionalFormatting>
  <conditionalFormatting sqref="P5:AA12">
    <cfRule type="cellIs" dxfId="42" priority="19" operator="greaterThan">
      <formula>$AD$7</formula>
    </cfRule>
    <cfRule type="cellIs" dxfId="41" priority="18" operator="lessThan">
      <formula>$AD$8</formula>
    </cfRule>
    <cfRule type="cellIs" dxfId="40" priority="17" operator="between">
      <formula>$AD$8</formula>
      <formula>$AD$7</formula>
    </cfRule>
  </conditionalFormatting>
  <conditionalFormatting sqref="AD15">
    <cfRule type="cellIs" dxfId="39" priority="14" operator="between">
      <formula>2</formula>
      <formula>3</formula>
    </cfRule>
    <cfRule type="cellIs" dxfId="38" priority="15" operator="lessThan">
      <formula>2</formula>
    </cfRule>
    <cfRule type="cellIs" dxfId="37" priority="16" operator="greaterThan">
      <formula>3</formula>
    </cfRule>
  </conditionalFormatting>
  <conditionalFormatting sqref="AD19">
    <cfRule type="cellIs" dxfId="36" priority="12" operator="lessThan">
      <formula>10</formula>
    </cfRule>
    <cfRule type="cellIs" dxfId="35" priority="13" operator="greaterThan">
      <formula>10</formula>
    </cfRule>
  </conditionalFormatting>
  <conditionalFormatting sqref="P15:AA22">
    <cfRule type="cellIs" dxfId="34" priority="9" operator="between">
      <formula>$AD$8</formula>
      <formula>$AD$7</formula>
    </cfRule>
    <cfRule type="cellIs" dxfId="33" priority="10" operator="lessThan">
      <formula>$AD$8</formula>
    </cfRule>
    <cfRule type="cellIs" dxfId="32" priority="11" operator="greaterThan">
      <formula>$AD$7</formula>
    </cfRule>
  </conditionalFormatting>
  <conditionalFormatting sqref="AD25">
    <cfRule type="cellIs" dxfId="31" priority="6" operator="between">
      <formula>2</formula>
      <formula>3</formula>
    </cfRule>
    <cfRule type="cellIs" dxfId="30" priority="7" operator="lessThan">
      <formula>2</formula>
    </cfRule>
    <cfRule type="cellIs" dxfId="29" priority="8" operator="greaterThan">
      <formula>3</formula>
    </cfRule>
  </conditionalFormatting>
  <conditionalFormatting sqref="AD29">
    <cfRule type="cellIs" dxfId="28" priority="4" operator="lessThan">
      <formula>10</formula>
    </cfRule>
    <cfRule type="cellIs" dxfId="27" priority="5" operator="greaterThan">
      <formula>10</formula>
    </cfRule>
  </conditionalFormatting>
  <conditionalFormatting sqref="P25:AA32">
    <cfRule type="cellIs" dxfId="26" priority="1" operator="between">
      <formula>$AD$8</formula>
      <formula>$AD$7</formula>
    </cfRule>
    <cfRule type="cellIs" dxfId="25" priority="2" operator="lessThan">
      <formula>$AD$8</formula>
    </cfRule>
    <cfRule type="cellIs" dxfId="24" priority="3" operator="greaterThan">
      <formula>$AD$7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"/>
  <sheetViews>
    <sheetView tabSelected="1" topLeftCell="B1" workbookViewId="0">
      <selection activeCell="AD11" sqref="AD11"/>
    </sheetView>
  </sheetViews>
  <sheetFormatPr defaultRowHeight="15" x14ac:dyDescent="0.25"/>
  <cols>
    <col min="1" max="13" width="9.140625" style="8"/>
    <col min="15" max="28" width="9.140625" style="8"/>
    <col min="29" max="29" width="9.85546875" style="8" bestFit="1" customWidth="1"/>
    <col min="30" max="30" width="9.140625" style="8"/>
  </cols>
  <sheetData>
    <row r="1" spans="1:30" x14ac:dyDescent="0.25">
      <c r="A1" s="9" t="s">
        <v>18</v>
      </c>
      <c r="O1" s="9" t="s">
        <v>11</v>
      </c>
      <c r="R1" s="3" t="s">
        <v>12</v>
      </c>
      <c r="T1" s="4" t="s">
        <v>43</v>
      </c>
      <c r="V1" s="5" t="s">
        <v>13</v>
      </c>
    </row>
    <row r="2" spans="1:30" x14ac:dyDescent="0.25">
      <c r="A2" s="9" t="s">
        <v>19</v>
      </c>
      <c r="O2" s="9"/>
    </row>
    <row r="3" spans="1:30" x14ac:dyDescent="0.25">
      <c r="A3" s="9" t="s">
        <v>0</v>
      </c>
      <c r="O3" s="9" t="s">
        <v>76</v>
      </c>
    </row>
    <row r="4" spans="1:30" x14ac:dyDescent="0.25">
      <c r="A4" s="9" t="s">
        <v>1</v>
      </c>
      <c r="B4" s="8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  <c r="K4" s="8">
        <v>10</v>
      </c>
      <c r="L4" s="8">
        <v>11</v>
      </c>
      <c r="M4" s="8">
        <v>12</v>
      </c>
      <c r="O4" s="9" t="s">
        <v>1</v>
      </c>
      <c r="P4" s="8">
        <v>1</v>
      </c>
      <c r="Q4" s="8">
        <v>2</v>
      </c>
      <c r="R4" s="8">
        <v>3</v>
      </c>
      <c r="S4" s="8">
        <v>4</v>
      </c>
      <c r="T4" s="8">
        <v>5</v>
      </c>
      <c r="U4" s="8">
        <v>6</v>
      </c>
      <c r="V4" s="8">
        <v>7</v>
      </c>
      <c r="W4" s="8">
        <v>8</v>
      </c>
      <c r="X4" s="8">
        <v>9</v>
      </c>
      <c r="Y4" s="8">
        <v>10</v>
      </c>
      <c r="Z4" s="8">
        <v>11</v>
      </c>
      <c r="AA4" s="8">
        <v>12</v>
      </c>
      <c r="AC4" s="2" t="s">
        <v>40</v>
      </c>
    </row>
    <row r="5" spans="1:30" x14ac:dyDescent="0.25">
      <c r="A5" s="9" t="s">
        <v>2</v>
      </c>
      <c r="B5" s="8">
        <v>0.11013000000000001</v>
      </c>
      <c r="C5" s="8">
        <v>0.13749</v>
      </c>
      <c r="D5" s="8">
        <v>0.10204000000000001</v>
      </c>
      <c r="E5" s="8">
        <v>8.1797999999999996E-2</v>
      </c>
      <c r="F5" s="8">
        <v>0.15792</v>
      </c>
      <c r="G5" s="8">
        <v>6.6151000000000001E-2</v>
      </c>
      <c r="H5" s="8">
        <v>0.14297000000000001</v>
      </c>
      <c r="I5" s="8">
        <v>0.18053</v>
      </c>
      <c r="J5" s="8">
        <v>9.8327999999999999E-2</v>
      </c>
      <c r="K5" s="8">
        <v>9.2622999999999997E-2</v>
      </c>
      <c r="L5" s="8">
        <v>0.12281</v>
      </c>
      <c r="M5" s="8">
        <v>6.8437999999999999E-2</v>
      </c>
      <c r="O5" s="9" t="s">
        <v>2</v>
      </c>
      <c r="P5" s="8">
        <f>B5</f>
        <v>0.11013000000000001</v>
      </c>
      <c r="Q5" s="8">
        <f t="shared" ref="Q5:AA12" si="0">C5</f>
        <v>0.13749</v>
      </c>
      <c r="R5" s="8">
        <f t="shared" si="0"/>
        <v>0.10204000000000001</v>
      </c>
      <c r="S5" s="8">
        <f t="shared" si="0"/>
        <v>8.1797999999999996E-2</v>
      </c>
      <c r="T5" s="8">
        <f t="shared" si="0"/>
        <v>0.15792</v>
      </c>
      <c r="U5" s="8">
        <f t="shared" si="0"/>
        <v>6.6151000000000001E-2</v>
      </c>
      <c r="V5" s="8">
        <f t="shared" si="0"/>
        <v>0.14297000000000001</v>
      </c>
      <c r="W5" s="8">
        <f t="shared" si="0"/>
        <v>0.18053</v>
      </c>
      <c r="X5" s="8">
        <f t="shared" si="0"/>
        <v>9.8327999999999999E-2</v>
      </c>
      <c r="Y5" s="8">
        <f t="shared" si="0"/>
        <v>9.2622999999999997E-2</v>
      </c>
      <c r="Z5" s="8">
        <f t="shared" si="0"/>
        <v>0.12281</v>
      </c>
      <c r="AA5" s="8">
        <f t="shared" si="0"/>
        <v>6.8437999999999999E-2</v>
      </c>
      <c r="AC5" s="8" t="s">
        <v>12</v>
      </c>
      <c r="AD5" s="8">
        <f>AVERAGE(U11,U12,AA11,AA12)</f>
        <v>2.4635500000000001</v>
      </c>
    </row>
    <row r="6" spans="1:30" x14ac:dyDescent="0.25">
      <c r="A6" s="9" t="s">
        <v>3</v>
      </c>
      <c r="B6" s="8">
        <v>9.2802999999999997E-2</v>
      </c>
      <c r="C6" s="8">
        <v>7.2791999999999996E-2</v>
      </c>
      <c r="D6" s="8">
        <v>8.0881999999999996E-2</v>
      </c>
      <c r="E6" s="8">
        <v>7.0453000000000002E-2</v>
      </c>
      <c r="F6" s="8">
        <v>7.8251000000000001E-2</v>
      </c>
      <c r="G6" s="8">
        <v>6.2370000000000002E-2</v>
      </c>
      <c r="H6" s="8">
        <v>0.10532</v>
      </c>
      <c r="I6" s="8">
        <v>7.5386999999999996E-2</v>
      </c>
      <c r="J6" s="8">
        <v>7.9186999999999994E-2</v>
      </c>
      <c r="K6" s="8">
        <v>7.6313000000000006E-2</v>
      </c>
      <c r="L6" s="8">
        <v>7.1316000000000004E-2</v>
      </c>
      <c r="M6" s="8">
        <v>6.5171000000000007E-2</v>
      </c>
      <c r="O6" s="9" t="s">
        <v>3</v>
      </c>
      <c r="P6" s="8">
        <f t="shared" ref="P6:P12" si="1">B6</f>
        <v>9.2802999999999997E-2</v>
      </c>
      <c r="Q6" s="8">
        <f t="shared" si="0"/>
        <v>7.2791999999999996E-2</v>
      </c>
      <c r="R6" s="8">
        <f t="shared" si="0"/>
        <v>8.0881999999999996E-2</v>
      </c>
      <c r="S6" s="8">
        <f t="shared" si="0"/>
        <v>7.0453000000000002E-2</v>
      </c>
      <c r="T6" s="8">
        <f t="shared" si="0"/>
        <v>7.8251000000000001E-2</v>
      </c>
      <c r="U6" s="8">
        <f t="shared" si="0"/>
        <v>6.2370000000000002E-2</v>
      </c>
      <c r="V6" s="8">
        <f t="shared" si="0"/>
        <v>0.10532</v>
      </c>
      <c r="W6" s="8">
        <f t="shared" si="0"/>
        <v>7.5386999999999996E-2</v>
      </c>
      <c r="X6" s="8">
        <f t="shared" si="0"/>
        <v>7.9186999999999994E-2</v>
      </c>
      <c r="Y6" s="8">
        <f t="shared" si="0"/>
        <v>7.6313000000000006E-2</v>
      </c>
      <c r="Z6" s="8">
        <f t="shared" si="0"/>
        <v>7.1316000000000004E-2</v>
      </c>
      <c r="AA6" s="8">
        <f t="shared" si="0"/>
        <v>6.5171000000000007E-2</v>
      </c>
      <c r="AC6" s="8" t="s">
        <v>13</v>
      </c>
      <c r="AD6" s="8">
        <f>AVERAGE(U5,U6,U7,U8,U9,U10,AA5,AA6,AA7,AA8,AA9,AA10,)</f>
        <v>6.8601923076923074E-2</v>
      </c>
    </row>
    <row r="7" spans="1:30" x14ac:dyDescent="0.25">
      <c r="A7" s="9" t="s">
        <v>4</v>
      </c>
      <c r="B7" s="8">
        <v>0.15906999999999999</v>
      </c>
      <c r="C7" s="8">
        <v>8.3170999999999995E-2</v>
      </c>
      <c r="D7" s="8">
        <v>9.2659000000000005E-2</v>
      </c>
      <c r="E7" s="8">
        <v>0.14779999999999999</v>
      </c>
      <c r="F7" s="8">
        <v>0.10538</v>
      </c>
      <c r="G7" s="8">
        <v>6.1587999999999997E-2</v>
      </c>
      <c r="H7" s="8">
        <v>0.11683</v>
      </c>
      <c r="I7" s="8">
        <v>7.3594999999999994E-2</v>
      </c>
      <c r="J7" s="8">
        <v>9.5515000000000003E-2</v>
      </c>
      <c r="K7" s="8">
        <v>0.17655000000000001</v>
      </c>
      <c r="L7" s="8">
        <v>9.2872999999999997E-2</v>
      </c>
      <c r="M7" s="8">
        <v>6.0474E-2</v>
      </c>
      <c r="O7" s="9" t="s">
        <v>4</v>
      </c>
      <c r="P7" s="8">
        <f t="shared" si="1"/>
        <v>0.15906999999999999</v>
      </c>
      <c r="Q7" s="8">
        <f t="shared" si="0"/>
        <v>8.3170999999999995E-2</v>
      </c>
      <c r="R7" s="8">
        <f t="shared" si="0"/>
        <v>9.2659000000000005E-2</v>
      </c>
      <c r="S7" s="8">
        <f t="shared" si="0"/>
        <v>0.14779999999999999</v>
      </c>
      <c r="T7" s="8">
        <f t="shared" si="0"/>
        <v>0.10538</v>
      </c>
      <c r="U7" s="8">
        <f t="shared" si="0"/>
        <v>6.1587999999999997E-2</v>
      </c>
      <c r="V7" s="8">
        <f t="shared" si="0"/>
        <v>0.11683</v>
      </c>
      <c r="W7" s="8">
        <f t="shared" si="0"/>
        <v>7.3594999999999994E-2</v>
      </c>
      <c r="X7" s="8">
        <f t="shared" si="0"/>
        <v>9.5515000000000003E-2</v>
      </c>
      <c r="Y7" s="8">
        <f t="shared" si="0"/>
        <v>0.17655000000000001</v>
      </c>
      <c r="Z7" s="8">
        <f t="shared" si="0"/>
        <v>9.2872999999999997E-2</v>
      </c>
      <c r="AA7" s="8">
        <f t="shared" si="0"/>
        <v>6.0474E-2</v>
      </c>
      <c r="AC7" s="8" t="s">
        <v>14</v>
      </c>
      <c r="AD7" s="8">
        <f>AD6+(0.35*AD5)</f>
        <v>0.93084442307692306</v>
      </c>
    </row>
    <row r="8" spans="1:30" x14ac:dyDescent="0.25">
      <c r="A8" s="9" t="s">
        <v>5</v>
      </c>
      <c r="B8" s="8">
        <v>9.4520000000000007E-2</v>
      </c>
      <c r="C8" s="8">
        <v>7.6273999999999995E-2</v>
      </c>
      <c r="D8" s="8">
        <v>9.6826999999999996E-2</v>
      </c>
      <c r="E8" s="8">
        <v>7.5569999999999998E-2</v>
      </c>
      <c r="F8" s="8">
        <v>7.3460999999999999E-2</v>
      </c>
      <c r="G8" s="8">
        <v>6.0020999999999998E-2</v>
      </c>
      <c r="H8" s="8">
        <v>7.6394000000000004E-2</v>
      </c>
      <c r="I8" s="8">
        <v>9.5075000000000007E-2</v>
      </c>
      <c r="J8" s="8">
        <v>8.6060999999999999E-2</v>
      </c>
      <c r="K8" s="8">
        <v>8.6961999999999998E-2</v>
      </c>
      <c r="L8" s="8">
        <v>7.1633000000000002E-2</v>
      </c>
      <c r="M8" s="8">
        <v>5.9707000000000003E-2</v>
      </c>
      <c r="O8" s="9" t="s">
        <v>5</v>
      </c>
      <c r="P8" s="8">
        <f t="shared" si="1"/>
        <v>9.4520000000000007E-2</v>
      </c>
      <c r="Q8" s="8">
        <f t="shared" si="0"/>
        <v>7.6273999999999995E-2</v>
      </c>
      <c r="R8" s="8">
        <f t="shared" si="0"/>
        <v>9.6826999999999996E-2</v>
      </c>
      <c r="S8" s="8">
        <f t="shared" si="0"/>
        <v>7.5569999999999998E-2</v>
      </c>
      <c r="T8" s="8">
        <f t="shared" si="0"/>
        <v>7.3460999999999999E-2</v>
      </c>
      <c r="U8" s="8">
        <f t="shared" si="0"/>
        <v>6.0020999999999998E-2</v>
      </c>
      <c r="V8" s="8">
        <f t="shared" si="0"/>
        <v>7.6394000000000004E-2</v>
      </c>
      <c r="W8" s="8">
        <f t="shared" si="0"/>
        <v>9.5075000000000007E-2</v>
      </c>
      <c r="X8" s="8">
        <f t="shared" si="0"/>
        <v>8.6060999999999999E-2</v>
      </c>
      <c r="Y8" s="8">
        <f t="shared" si="0"/>
        <v>8.6961999999999998E-2</v>
      </c>
      <c r="Z8" s="8">
        <f t="shared" si="0"/>
        <v>7.1633000000000002E-2</v>
      </c>
      <c r="AA8" s="8">
        <f t="shared" si="0"/>
        <v>5.9707000000000003E-2</v>
      </c>
      <c r="AC8" s="8" t="s">
        <v>15</v>
      </c>
      <c r="AD8" s="8">
        <f>AD6+(0.25*AD5)</f>
        <v>0.68448942307692306</v>
      </c>
    </row>
    <row r="9" spans="1:30" x14ac:dyDescent="0.25">
      <c r="A9" s="9" t="s">
        <v>6</v>
      </c>
      <c r="B9" s="8">
        <v>8.1925999999999999E-2</v>
      </c>
      <c r="C9" s="8">
        <v>0.51626000000000005</v>
      </c>
      <c r="D9" s="8">
        <v>9.2933000000000002E-2</v>
      </c>
      <c r="E9" s="8">
        <v>7.1244000000000002E-2</v>
      </c>
      <c r="F9" s="8">
        <v>6.9349999999999995E-2</v>
      </c>
      <c r="G9" s="8">
        <v>6.4034999999999995E-2</v>
      </c>
      <c r="H9" s="8">
        <v>0.10067</v>
      </c>
      <c r="I9" s="8">
        <v>0.39827000000000001</v>
      </c>
      <c r="J9" s="8">
        <v>8.1295999999999993E-2</v>
      </c>
      <c r="K9" s="8">
        <v>0.10403</v>
      </c>
      <c r="L9" s="8">
        <v>6.9485000000000005E-2</v>
      </c>
      <c r="M9" s="8">
        <v>0.1082</v>
      </c>
      <c r="O9" s="9" t="s">
        <v>6</v>
      </c>
      <c r="P9" s="8">
        <f t="shared" si="1"/>
        <v>8.1925999999999999E-2</v>
      </c>
      <c r="Q9" s="8">
        <f t="shared" si="0"/>
        <v>0.51626000000000005</v>
      </c>
      <c r="R9" s="8">
        <f t="shared" si="0"/>
        <v>9.2933000000000002E-2</v>
      </c>
      <c r="S9" s="8">
        <f t="shared" si="0"/>
        <v>7.1244000000000002E-2</v>
      </c>
      <c r="T9" s="8">
        <f t="shared" si="0"/>
        <v>6.9349999999999995E-2</v>
      </c>
      <c r="U9" s="8">
        <f t="shared" si="0"/>
        <v>6.4034999999999995E-2</v>
      </c>
      <c r="V9" s="8">
        <f t="shared" si="0"/>
        <v>0.10067</v>
      </c>
      <c r="W9" s="8">
        <f t="shared" si="0"/>
        <v>0.39827000000000001</v>
      </c>
      <c r="X9" s="8">
        <f t="shared" si="0"/>
        <v>8.1295999999999993E-2</v>
      </c>
      <c r="Y9" s="8">
        <f t="shared" si="0"/>
        <v>0.10403</v>
      </c>
      <c r="Z9" s="8">
        <f t="shared" si="0"/>
        <v>6.9485000000000005E-2</v>
      </c>
      <c r="AA9" s="8">
        <f t="shared" si="0"/>
        <v>0.1082</v>
      </c>
      <c r="AC9" s="8" t="s">
        <v>16</v>
      </c>
      <c r="AD9" s="8">
        <f>AD5/AD6</f>
        <v>35.910800885824017</v>
      </c>
    </row>
    <row r="10" spans="1:30" x14ac:dyDescent="0.25">
      <c r="A10" s="9" t="s">
        <v>7</v>
      </c>
      <c r="B10" s="8">
        <v>8.6777999999999994E-2</v>
      </c>
      <c r="C10" s="8">
        <v>0.13922999999999999</v>
      </c>
      <c r="D10" s="8">
        <v>8.8584999999999997E-2</v>
      </c>
      <c r="E10" s="8">
        <v>0.13619999999999999</v>
      </c>
      <c r="F10" s="8">
        <v>9.3168000000000001E-2</v>
      </c>
      <c r="G10" s="8">
        <v>0.11401</v>
      </c>
      <c r="H10" s="8">
        <v>7.4486999999999998E-2</v>
      </c>
      <c r="I10" s="8">
        <v>9.9876999999999994E-2</v>
      </c>
      <c r="J10" s="8">
        <v>7.3149000000000006E-2</v>
      </c>
      <c r="K10" s="8">
        <v>0.13220999999999999</v>
      </c>
      <c r="L10" s="8">
        <v>7.6582999999999998E-2</v>
      </c>
      <c r="M10" s="8">
        <v>0.10166</v>
      </c>
      <c r="O10" s="9" t="s">
        <v>7</v>
      </c>
      <c r="P10" s="8">
        <f t="shared" si="1"/>
        <v>8.6777999999999994E-2</v>
      </c>
      <c r="Q10" s="8">
        <f t="shared" si="0"/>
        <v>0.13922999999999999</v>
      </c>
      <c r="R10" s="8">
        <f t="shared" si="0"/>
        <v>8.8584999999999997E-2</v>
      </c>
      <c r="S10" s="8">
        <f t="shared" si="0"/>
        <v>0.13619999999999999</v>
      </c>
      <c r="T10" s="8">
        <f t="shared" si="0"/>
        <v>9.3168000000000001E-2</v>
      </c>
      <c r="U10" s="8">
        <f t="shared" si="0"/>
        <v>0.11401</v>
      </c>
      <c r="V10" s="8">
        <f t="shared" si="0"/>
        <v>7.4486999999999998E-2</v>
      </c>
      <c r="W10" s="8">
        <f t="shared" si="0"/>
        <v>9.9876999999999994E-2</v>
      </c>
      <c r="X10" s="8">
        <f t="shared" si="0"/>
        <v>7.3149000000000006E-2</v>
      </c>
      <c r="Y10" s="8">
        <f t="shared" si="0"/>
        <v>0.13220999999999999</v>
      </c>
      <c r="Z10" s="8">
        <f t="shared" si="0"/>
        <v>7.6582999999999998E-2</v>
      </c>
      <c r="AA10" s="8">
        <f t="shared" si="0"/>
        <v>0.10166</v>
      </c>
    </row>
    <row r="11" spans="1:30" x14ac:dyDescent="0.25">
      <c r="A11" s="9" t="s">
        <v>8</v>
      </c>
      <c r="B11" s="8">
        <v>0.10267999999999999</v>
      </c>
      <c r="C11" s="8">
        <v>8.4554000000000004E-2</v>
      </c>
      <c r="D11" s="8">
        <v>7.2526999999999994E-2</v>
      </c>
      <c r="E11" s="8">
        <v>8.2305000000000003E-2</v>
      </c>
      <c r="F11" s="8">
        <v>0.10581</v>
      </c>
      <c r="G11" s="8">
        <v>2.4239000000000002</v>
      </c>
      <c r="H11" s="8">
        <v>0.10718</v>
      </c>
      <c r="I11" s="8">
        <v>7.4587000000000001E-2</v>
      </c>
      <c r="J11" s="8">
        <v>6.6392000000000007E-2</v>
      </c>
      <c r="K11" s="8">
        <v>7.2386000000000006E-2</v>
      </c>
      <c r="L11" s="8">
        <v>8.0175999999999997E-2</v>
      </c>
      <c r="M11" s="8">
        <v>2.3664000000000001</v>
      </c>
      <c r="O11" s="9" t="s">
        <v>8</v>
      </c>
      <c r="P11" s="8">
        <f t="shared" si="1"/>
        <v>0.10267999999999999</v>
      </c>
      <c r="Q11" s="8">
        <f t="shared" si="0"/>
        <v>8.4554000000000004E-2</v>
      </c>
      <c r="R11" s="8">
        <f t="shared" si="0"/>
        <v>7.2526999999999994E-2</v>
      </c>
      <c r="S11" s="8">
        <f t="shared" si="0"/>
        <v>8.2305000000000003E-2</v>
      </c>
      <c r="T11" s="8">
        <f t="shared" si="0"/>
        <v>0.10581</v>
      </c>
      <c r="U11" s="8">
        <f t="shared" si="0"/>
        <v>2.4239000000000002</v>
      </c>
      <c r="V11" s="8">
        <f t="shared" si="0"/>
        <v>0.10718</v>
      </c>
      <c r="W11" s="8">
        <f t="shared" si="0"/>
        <v>7.4587000000000001E-2</v>
      </c>
      <c r="X11" s="8">
        <f t="shared" si="0"/>
        <v>6.6392000000000007E-2</v>
      </c>
      <c r="Y11" s="8">
        <f t="shared" si="0"/>
        <v>7.2386000000000006E-2</v>
      </c>
      <c r="Z11" s="8">
        <f t="shared" si="0"/>
        <v>8.0175999999999997E-2</v>
      </c>
      <c r="AA11" s="8">
        <f t="shared" si="0"/>
        <v>2.3664000000000001</v>
      </c>
      <c r="AC11" s="8" t="s">
        <v>17</v>
      </c>
      <c r="AD11" s="8" t="str">
        <f>IF((AND(AD5&gt;2,AD5&lt;3,AD9&gt;10)),"PASS","FAIL")</f>
        <v>PASS</v>
      </c>
    </row>
    <row r="12" spans="1:30" x14ac:dyDescent="0.25">
      <c r="A12" s="9" t="s">
        <v>9</v>
      </c>
      <c r="B12" s="8">
        <v>9.8763000000000004E-2</v>
      </c>
      <c r="C12" s="8">
        <v>8.4439E-2</v>
      </c>
      <c r="D12" s="8">
        <v>6.3097E-2</v>
      </c>
      <c r="E12" s="8">
        <v>8.1112000000000004E-2</v>
      </c>
      <c r="F12" s="8">
        <v>0.13020000000000001</v>
      </c>
      <c r="G12" s="8">
        <v>2.6208</v>
      </c>
      <c r="H12" s="8">
        <v>0.16547999999999999</v>
      </c>
      <c r="I12" s="8">
        <v>0.11527</v>
      </c>
      <c r="J12" s="8">
        <v>0.10451000000000001</v>
      </c>
      <c r="K12" s="8">
        <v>0.11749999999999999</v>
      </c>
      <c r="L12" s="8">
        <v>0.10686</v>
      </c>
      <c r="M12" s="8">
        <v>2.4430999999999998</v>
      </c>
      <c r="O12" s="9" t="s">
        <v>9</v>
      </c>
      <c r="P12" s="8">
        <f t="shared" si="1"/>
        <v>9.8763000000000004E-2</v>
      </c>
      <c r="Q12" s="8">
        <f t="shared" si="0"/>
        <v>8.4439E-2</v>
      </c>
      <c r="R12" s="8">
        <f t="shared" si="0"/>
        <v>6.3097E-2</v>
      </c>
      <c r="S12" s="8">
        <f t="shared" si="0"/>
        <v>8.1112000000000004E-2</v>
      </c>
      <c r="T12" s="8">
        <f t="shared" si="0"/>
        <v>0.13020000000000001</v>
      </c>
      <c r="U12" s="8">
        <f t="shared" si="0"/>
        <v>2.6208</v>
      </c>
      <c r="V12" s="8">
        <f t="shared" si="0"/>
        <v>0.16547999999999999</v>
      </c>
      <c r="W12" s="8">
        <f t="shared" si="0"/>
        <v>0.11527</v>
      </c>
      <c r="X12" s="8">
        <f t="shared" si="0"/>
        <v>0.10451000000000001</v>
      </c>
      <c r="Y12" s="8">
        <f t="shared" si="0"/>
        <v>0.11749999999999999</v>
      </c>
      <c r="Z12" s="8">
        <f t="shared" si="0"/>
        <v>0.10686</v>
      </c>
      <c r="AA12" s="8">
        <f t="shared" si="0"/>
        <v>2.4430999999999998</v>
      </c>
    </row>
    <row r="13" spans="1:30" x14ac:dyDescent="0.25">
      <c r="A13" s="9" t="s">
        <v>79</v>
      </c>
      <c r="O13" s="9" t="s">
        <v>77</v>
      </c>
    </row>
    <row r="14" spans="1:30" x14ac:dyDescent="0.25">
      <c r="A14" s="9" t="s">
        <v>1</v>
      </c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  <c r="O14" s="9" t="s">
        <v>1</v>
      </c>
      <c r="P14" s="8">
        <v>1</v>
      </c>
      <c r="Q14" s="8">
        <v>2</v>
      </c>
      <c r="R14" s="8">
        <v>3</v>
      </c>
      <c r="S14" s="8">
        <v>4</v>
      </c>
      <c r="T14" s="8">
        <v>5</v>
      </c>
      <c r="U14" s="8">
        <v>6</v>
      </c>
      <c r="V14" s="8">
        <v>7</v>
      </c>
      <c r="W14" s="8">
        <v>8</v>
      </c>
      <c r="X14" s="8">
        <v>9</v>
      </c>
      <c r="Y14" s="8">
        <v>10</v>
      </c>
      <c r="Z14" s="8">
        <v>11</v>
      </c>
      <c r="AA14" s="8">
        <v>12</v>
      </c>
      <c r="AC14" s="2" t="s">
        <v>41</v>
      </c>
    </row>
    <row r="15" spans="1:30" x14ac:dyDescent="0.25">
      <c r="A15" s="9" t="s">
        <v>2</v>
      </c>
      <c r="B15" s="8">
        <v>0.15595999999999999</v>
      </c>
      <c r="C15" s="8">
        <v>0.18565999999999999</v>
      </c>
      <c r="D15" s="8">
        <v>0.13630999999999999</v>
      </c>
      <c r="E15" s="8">
        <v>0.10571999999999999</v>
      </c>
      <c r="F15" s="8">
        <v>0.23577000000000001</v>
      </c>
      <c r="G15" s="8">
        <v>7.3731000000000005E-2</v>
      </c>
      <c r="H15" s="8">
        <v>0.19492000000000001</v>
      </c>
      <c r="I15" s="8">
        <v>0.24912999999999999</v>
      </c>
      <c r="J15" s="8">
        <v>0.13578999999999999</v>
      </c>
      <c r="K15" s="8">
        <v>0.11683</v>
      </c>
      <c r="L15" s="8">
        <v>0.17186000000000001</v>
      </c>
      <c r="M15" s="8">
        <v>7.2492000000000001E-2</v>
      </c>
      <c r="O15" s="9" t="s">
        <v>2</v>
      </c>
      <c r="P15" s="8">
        <f>B15</f>
        <v>0.15595999999999999</v>
      </c>
      <c r="Q15" s="8">
        <f t="shared" ref="Q15:AA22" si="2">C15</f>
        <v>0.18565999999999999</v>
      </c>
      <c r="R15" s="8">
        <f t="shared" si="2"/>
        <v>0.13630999999999999</v>
      </c>
      <c r="S15" s="8">
        <f t="shared" si="2"/>
        <v>0.10571999999999999</v>
      </c>
      <c r="T15" s="8">
        <f t="shared" si="2"/>
        <v>0.23577000000000001</v>
      </c>
      <c r="U15" s="8">
        <f t="shared" si="2"/>
        <v>7.3731000000000005E-2</v>
      </c>
      <c r="V15" s="8">
        <f t="shared" si="2"/>
        <v>0.19492000000000001</v>
      </c>
      <c r="W15" s="8">
        <f t="shared" si="2"/>
        <v>0.24912999999999999</v>
      </c>
      <c r="X15" s="8">
        <f t="shared" si="2"/>
        <v>0.13578999999999999</v>
      </c>
      <c r="Y15" s="8">
        <f t="shared" si="2"/>
        <v>0.11683</v>
      </c>
      <c r="Z15" s="8">
        <f t="shared" si="2"/>
        <v>0.17186000000000001</v>
      </c>
      <c r="AA15" s="8">
        <f t="shared" si="2"/>
        <v>7.2492000000000001E-2</v>
      </c>
      <c r="AC15" s="8" t="s">
        <v>12</v>
      </c>
      <c r="AD15" s="8">
        <f>AVERAGE(U21,U22,AA21,AA22)</f>
        <v>3.1867000000000001</v>
      </c>
    </row>
    <row r="16" spans="1:30" x14ac:dyDescent="0.25">
      <c r="A16" s="9" t="s">
        <v>3</v>
      </c>
      <c r="B16" s="8">
        <v>0.12091</v>
      </c>
      <c r="C16" s="8">
        <v>8.3586999999999995E-2</v>
      </c>
      <c r="D16" s="8">
        <v>9.8815E-2</v>
      </c>
      <c r="E16" s="8">
        <v>8.1239000000000006E-2</v>
      </c>
      <c r="F16" s="8">
        <v>9.2755000000000004E-2</v>
      </c>
      <c r="G16" s="8">
        <v>6.5572000000000005E-2</v>
      </c>
      <c r="H16" s="8">
        <v>0.12406</v>
      </c>
      <c r="I16" s="8">
        <v>8.9496999999999993E-2</v>
      </c>
      <c r="J16" s="8">
        <v>9.5921999999999993E-2</v>
      </c>
      <c r="K16" s="8">
        <v>9.0439000000000005E-2</v>
      </c>
      <c r="L16" s="8">
        <v>8.0199999999999994E-2</v>
      </c>
      <c r="M16" s="8">
        <v>6.5947000000000006E-2</v>
      </c>
      <c r="O16" s="9" t="s">
        <v>3</v>
      </c>
      <c r="P16" s="8">
        <f t="shared" ref="P16:P22" si="3">B16</f>
        <v>0.12091</v>
      </c>
      <c r="Q16" s="8">
        <f t="shared" si="2"/>
        <v>8.3586999999999995E-2</v>
      </c>
      <c r="R16" s="8">
        <f t="shared" si="2"/>
        <v>9.8815E-2</v>
      </c>
      <c r="S16" s="8">
        <f t="shared" si="2"/>
        <v>8.1239000000000006E-2</v>
      </c>
      <c r="T16" s="8">
        <f t="shared" si="2"/>
        <v>9.2755000000000004E-2</v>
      </c>
      <c r="U16" s="8">
        <f t="shared" si="2"/>
        <v>6.5572000000000005E-2</v>
      </c>
      <c r="V16" s="8">
        <f t="shared" si="2"/>
        <v>0.12406</v>
      </c>
      <c r="W16" s="8">
        <f t="shared" si="2"/>
        <v>8.9496999999999993E-2</v>
      </c>
      <c r="X16" s="8">
        <f t="shared" si="2"/>
        <v>9.5921999999999993E-2</v>
      </c>
      <c r="Y16" s="8">
        <f t="shared" si="2"/>
        <v>9.0439000000000005E-2</v>
      </c>
      <c r="Z16" s="8">
        <f t="shared" si="2"/>
        <v>8.0199999999999994E-2</v>
      </c>
      <c r="AA16" s="8">
        <f t="shared" si="2"/>
        <v>6.5947000000000006E-2</v>
      </c>
      <c r="AC16" s="8" t="s">
        <v>13</v>
      </c>
      <c r="AD16" s="8">
        <f>AVERAGE(U15,U16,U17,U18,U19,U20,AA15,AA16,AA17,AA18,AA19,AA20,)</f>
        <v>7.5091846153846148E-2</v>
      </c>
    </row>
    <row r="17" spans="1:30" x14ac:dyDescent="0.25">
      <c r="A17" s="9" t="s">
        <v>4</v>
      </c>
      <c r="B17" s="8">
        <v>0.23107</v>
      </c>
      <c r="C17" s="8">
        <v>0.10084</v>
      </c>
      <c r="D17" s="8">
        <v>0.11881</v>
      </c>
      <c r="E17" s="8">
        <v>0.21367</v>
      </c>
      <c r="F17" s="8">
        <v>0.13944000000000001</v>
      </c>
      <c r="G17" s="8">
        <v>6.3056000000000001E-2</v>
      </c>
      <c r="H17" s="8">
        <v>0.15961</v>
      </c>
      <c r="I17" s="8">
        <v>8.6390999999999996E-2</v>
      </c>
      <c r="J17" s="8">
        <v>0.11623</v>
      </c>
      <c r="K17" s="8">
        <v>0.25570999999999999</v>
      </c>
      <c r="L17" s="8">
        <v>0.11749999999999999</v>
      </c>
      <c r="M17" s="8">
        <v>6.1251E-2</v>
      </c>
      <c r="O17" s="9" t="s">
        <v>4</v>
      </c>
      <c r="P17" s="8">
        <f t="shared" si="3"/>
        <v>0.23107</v>
      </c>
      <c r="Q17" s="8">
        <f t="shared" si="2"/>
        <v>0.10084</v>
      </c>
      <c r="R17" s="8">
        <f t="shared" si="2"/>
        <v>0.11881</v>
      </c>
      <c r="S17" s="8">
        <f t="shared" si="2"/>
        <v>0.21367</v>
      </c>
      <c r="T17" s="8">
        <f t="shared" si="2"/>
        <v>0.13944000000000001</v>
      </c>
      <c r="U17" s="8">
        <f t="shared" si="2"/>
        <v>6.3056000000000001E-2</v>
      </c>
      <c r="V17" s="8">
        <f t="shared" si="2"/>
        <v>0.15961</v>
      </c>
      <c r="W17" s="8">
        <f t="shared" si="2"/>
        <v>8.6390999999999996E-2</v>
      </c>
      <c r="X17" s="8">
        <f t="shared" si="2"/>
        <v>0.11623</v>
      </c>
      <c r="Y17" s="8">
        <f t="shared" si="2"/>
        <v>0.25570999999999999</v>
      </c>
      <c r="Z17" s="8">
        <f t="shared" si="2"/>
        <v>0.11749999999999999</v>
      </c>
      <c r="AA17" s="8">
        <f t="shared" si="2"/>
        <v>6.1251E-2</v>
      </c>
      <c r="AC17" s="8" t="s">
        <v>14</v>
      </c>
      <c r="AD17" s="8">
        <f>AD16+(0.35*AD15)</f>
        <v>1.1904368461538462</v>
      </c>
    </row>
    <row r="18" spans="1:30" x14ac:dyDescent="0.25">
      <c r="A18" s="9" t="s">
        <v>5</v>
      </c>
      <c r="B18" s="8">
        <v>0.12321</v>
      </c>
      <c r="C18" s="8">
        <v>8.9938000000000004E-2</v>
      </c>
      <c r="D18" s="8">
        <v>0.12471</v>
      </c>
      <c r="E18" s="8">
        <v>8.7498000000000006E-2</v>
      </c>
      <c r="F18" s="8">
        <v>8.5991999999999999E-2</v>
      </c>
      <c r="G18" s="8">
        <v>6.1176000000000001E-2</v>
      </c>
      <c r="H18" s="8">
        <v>8.7337999999999999E-2</v>
      </c>
      <c r="I18" s="8">
        <v>0.10025000000000001</v>
      </c>
      <c r="J18" s="8">
        <v>0.10428999999999999</v>
      </c>
      <c r="K18" s="8">
        <v>0.10150000000000001</v>
      </c>
      <c r="L18" s="8">
        <v>8.1828999999999999E-2</v>
      </c>
      <c r="M18" s="8">
        <v>6.0158999999999997E-2</v>
      </c>
      <c r="O18" s="9" t="s">
        <v>5</v>
      </c>
      <c r="P18" s="8">
        <f t="shared" si="3"/>
        <v>0.12321</v>
      </c>
      <c r="Q18" s="8">
        <f t="shared" si="2"/>
        <v>8.9938000000000004E-2</v>
      </c>
      <c r="R18" s="8">
        <f t="shared" si="2"/>
        <v>0.12471</v>
      </c>
      <c r="S18" s="8">
        <f t="shared" si="2"/>
        <v>8.7498000000000006E-2</v>
      </c>
      <c r="T18" s="8">
        <f t="shared" si="2"/>
        <v>8.5991999999999999E-2</v>
      </c>
      <c r="U18" s="8">
        <f t="shared" si="2"/>
        <v>6.1176000000000001E-2</v>
      </c>
      <c r="V18" s="8">
        <f t="shared" si="2"/>
        <v>8.7337999999999999E-2</v>
      </c>
      <c r="W18" s="8">
        <f t="shared" si="2"/>
        <v>0.10025000000000001</v>
      </c>
      <c r="X18" s="8">
        <f t="shared" si="2"/>
        <v>0.10428999999999999</v>
      </c>
      <c r="Y18" s="8">
        <f t="shared" si="2"/>
        <v>0.10150000000000001</v>
      </c>
      <c r="Z18" s="8">
        <f t="shared" si="2"/>
        <v>8.1828999999999999E-2</v>
      </c>
      <c r="AA18" s="8">
        <f t="shared" si="2"/>
        <v>6.0158999999999997E-2</v>
      </c>
      <c r="AC18" s="8" t="s">
        <v>15</v>
      </c>
      <c r="AD18" s="8">
        <f>AD16+(0.25*AD15)</f>
        <v>0.87176684615384614</v>
      </c>
    </row>
    <row r="19" spans="1:30" x14ac:dyDescent="0.25">
      <c r="A19" s="9" t="s">
        <v>6</v>
      </c>
      <c r="B19" s="8">
        <v>9.8886000000000002E-2</v>
      </c>
      <c r="C19" s="8">
        <v>0.81125000000000003</v>
      </c>
      <c r="D19" s="8">
        <v>0.11645999999999999</v>
      </c>
      <c r="E19" s="8">
        <v>8.0609E-2</v>
      </c>
      <c r="F19" s="8">
        <v>7.8028E-2</v>
      </c>
      <c r="G19" s="8">
        <v>6.5299999999999997E-2</v>
      </c>
      <c r="H19" s="8">
        <v>0.111</v>
      </c>
      <c r="I19" s="8">
        <v>0.61156999999999995</v>
      </c>
      <c r="J19" s="8">
        <v>9.6826999999999996E-2</v>
      </c>
      <c r="K19" s="8">
        <v>0.11722</v>
      </c>
      <c r="L19" s="8">
        <v>7.7484999999999998E-2</v>
      </c>
      <c r="M19" s="8">
        <v>0.10881</v>
      </c>
      <c r="O19" s="9" t="s">
        <v>6</v>
      </c>
      <c r="P19" s="8">
        <f t="shared" si="3"/>
        <v>9.8886000000000002E-2</v>
      </c>
      <c r="Q19" s="8">
        <f t="shared" si="2"/>
        <v>0.81125000000000003</v>
      </c>
      <c r="R19" s="8">
        <f t="shared" si="2"/>
        <v>0.11645999999999999</v>
      </c>
      <c r="S19" s="8">
        <f t="shared" si="2"/>
        <v>8.0609E-2</v>
      </c>
      <c r="T19" s="8">
        <f t="shared" si="2"/>
        <v>7.8028E-2</v>
      </c>
      <c r="U19" s="8">
        <f t="shared" si="2"/>
        <v>6.5299999999999997E-2</v>
      </c>
      <c r="V19" s="8">
        <f t="shared" si="2"/>
        <v>0.111</v>
      </c>
      <c r="W19" s="8">
        <f t="shared" si="2"/>
        <v>0.61156999999999995</v>
      </c>
      <c r="X19" s="8">
        <f t="shared" si="2"/>
        <v>9.6826999999999996E-2</v>
      </c>
      <c r="Y19" s="8">
        <f t="shared" si="2"/>
        <v>0.11722</v>
      </c>
      <c r="Z19" s="8">
        <f t="shared" si="2"/>
        <v>7.7484999999999998E-2</v>
      </c>
      <c r="AA19" s="8">
        <f t="shared" si="2"/>
        <v>0.10881</v>
      </c>
      <c r="AC19" s="8" t="s">
        <v>16</v>
      </c>
      <c r="AD19" s="8">
        <f>AD15/AD16</f>
        <v>42.437363884637691</v>
      </c>
    </row>
    <row r="20" spans="1:30" x14ac:dyDescent="0.25">
      <c r="A20" s="9" t="s">
        <v>7</v>
      </c>
      <c r="B20" s="8">
        <v>0.10332</v>
      </c>
      <c r="C20" s="8">
        <v>0.19278000000000001</v>
      </c>
      <c r="D20" s="8">
        <v>0.11046</v>
      </c>
      <c r="E20" s="8">
        <v>0.18855</v>
      </c>
      <c r="F20" s="8">
        <v>0.11151999999999999</v>
      </c>
      <c r="G20" s="8">
        <v>0.14494000000000001</v>
      </c>
      <c r="H20" s="8">
        <v>8.3101999999999995E-2</v>
      </c>
      <c r="I20" s="8">
        <v>0.12714</v>
      </c>
      <c r="J20" s="8">
        <v>8.4381999999999999E-2</v>
      </c>
      <c r="K20" s="8">
        <v>0.18415999999999999</v>
      </c>
      <c r="L20" s="8">
        <v>9.0704000000000007E-2</v>
      </c>
      <c r="M20" s="8">
        <v>0.13375999999999999</v>
      </c>
      <c r="O20" s="9" t="s">
        <v>7</v>
      </c>
      <c r="P20" s="8">
        <f t="shared" si="3"/>
        <v>0.10332</v>
      </c>
      <c r="Q20" s="8">
        <f t="shared" si="2"/>
        <v>0.19278000000000001</v>
      </c>
      <c r="R20" s="8">
        <f t="shared" si="2"/>
        <v>0.11046</v>
      </c>
      <c r="S20" s="8">
        <f t="shared" si="2"/>
        <v>0.18855</v>
      </c>
      <c r="T20" s="8">
        <f t="shared" si="2"/>
        <v>0.11151999999999999</v>
      </c>
      <c r="U20" s="8">
        <f t="shared" si="2"/>
        <v>0.14494000000000001</v>
      </c>
      <c r="V20" s="8">
        <f t="shared" si="2"/>
        <v>8.3101999999999995E-2</v>
      </c>
      <c r="W20" s="8">
        <f t="shared" si="2"/>
        <v>0.12714</v>
      </c>
      <c r="X20" s="8">
        <f t="shared" si="2"/>
        <v>8.4381999999999999E-2</v>
      </c>
      <c r="Y20" s="8">
        <f t="shared" si="2"/>
        <v>0.18415999999999999</v>
      </c>
      <c r="Z20" s="8">
        <f t="shared" si="2"/>
        <v>9.0704000000000007E-2</v>
      </c>
      <c r="AA20" s="8">
        <f t="shared" si="2"/>
        <v>0.13375999999999999</v>
      </c>
    </row>
    <row r="21" spans="1:30" x14ac:dyDescent="0.25">
      <c r="A21" s="9" t="s">
        <v>8</v>
      </c>
      <c r="B21" s="8">
        <v>0.12057</v>
      </c>
      <c r="C21" s="8">
        <v>0.10421</v>
      </c>
      <c r="D21" s="8">
        <v>8.2274E-2</v>
      </c>
      <c r="E21" s="8">
        <v>8.7966000000000003E-2</v>
      </c>
      <c r="F21" s="8">
        <v>0.13916000000000001</v>
      </c>
      <c r="G21" s="8">
        <v>3.1413000000000002</v>
      </c>
      <c r="H21" s="8">
        <v>0.12221</v>
      </c>
      <c r="I21" s="8">
        <v>8.7742000000000001E-2</v>
      </c>
      <c r="J21" s="8">
        <v>7.2040999999999994E-2</v>
      </c>
      <c r="K21" s="8">
        <v>8.1253000000000006E-2</v>
      </c>
      <c r="L21" s="8">
        <v>9.7141000000000005E-2</v>
      </c>
      <c r="M21" s="8">
        <v>3.1450999999999998</v>
      </c>
      <c r="O21" s="9" t="s">
        <v>8</v>
      </c>
      <c r="P21" s="8">
        <f t="shared" si="3"/>
        <v>0.12057</v>
      </c>
      <c r="Q21" s="8">
        <f t="shared" si="2"/>
        <v>0.10421</v>
      </c>
      <c r="R21" s="8">
        <f t="shared" si="2"/>
        <v>8.2274E-2</v>
      </c>
      <c r="S21" s="8">
        <f t="shared" si="2"/>
        <v>8.7966000000000003E-2</v>
      </c>
      <c r="T21" s="8">
        <f t="shared" si="2"/>
        <v>0.13916000000000001</v>
      </c>
      <c r="U21" s="8">
        <f t="shared" si="2"/>
        <v>3.1413000000000002</v>
      </c>
      <c r="V21" s="8">
        <f t="shared" si="2"/>
        <v>0.12221</v>
      </c>
      <c r="W21" s="8">
        <f t="shared" si="2"/>
        <v>8.7742000000000001E-2</v>
      </c>
      <c r="X21" s="8">
        <f t="shared" si="2"/>
        <v>7.2040999999999994E-2</v>
      </c>
      <c r="Y21" s="8">
        <f t="shared" si="2"/>
        <v>8.1253000000000006E-2</v>
      </c>
      <c r="Z21" s="8">
        <f t="shared" si="2"/>
        <v>9.7141000000000005E-2</v>
      </c>
      <c r="AA21" s="8">
        <f t="shared" si="2"/>
        <v>3.1450999999999998</v>
      </c>
      <c r="AC21" s="8" t="s">
        <v>17</v>
      </c>
      <c r="AD21" s="8" t="str">
        <f>IF((AND(AD15&gt;2,AD15&lt;3,AD19&gt;10)),"PASS","FAIL")</f>
        <v>FAIL</v>
      </c>
    </row>
    <row r="22" spans="1:30" x14ac:dyDescent="0.25">
      <c r="A22" s="9" t="s">
        <v>9</v>
      </c>
      <c r="B22" s="8">
        <v>0.12445000000000001</v>
      </c>
      <c r="C22" s="8">
        <v>0.10148</v>
      </c>
      <c r="D22" s="8">
        <v>6.3114000000000003E-2</v>
      </c>
      <c r="E22" s="8">
        <v>9.3566999999999997E-2</v>
      </c>
      <c r="F22" s="8">
        <v>0.18126999999999999</v>
      </c>
      <c r="G22" s="8">
        <v>3.2565</v>
      </c>
      <c r="H22" s="8">
        <v>0.18334</v>
      </c>
      <c r="I22" s="8">
        <v>0.13370000000000001</v>
      </c>
      <c r="J22" s="8">
        <v>0.10768999999999999</v>
      </c>
      <c r="K22" s="8">
        <v>0.13331000000000001</v>
      </c>
      <c r="L22" s="8">
        <v>0.14157</v>
      </c>
      <c r="M22" s="8">
        <v>3.2039</v>
      </c>
      <c r="O22" s="9" t="s">
        <v>9</v>
      </c>
      <c r="P22" s="8">
        <f t="shared" si="3"/>
        <v>0.12445000000000001</v>
      </c>
      <c r="Q22" s="8">
        <f t="shared" si="2"/>
        <v>0.10148</v>
      </c>
      <c r="R22" s="8">
        <f t="shared" si="2"/>
        <v>6.3114000000000003E-2</v>
      </c>
      <c r="S22" s="8">
        <f t="shared" si="2"/>
        <v>9.3566999999999997E-2</v>
      </c>
      <c r="T22" s="8">
        <f t="shared" si="2"/>
        <v>0.18126999999999999</v>
      </c>
      <c r="U22" s="8">
        <f t="shared" si="2"/>
        <v>3.2565</v>
      </c>
      <c r="V22" s="8">
        <f t="shared" si="2"/>
        <v>0.18334</v>
      </c>
      <c r="W22" s="8">
        <f t="shared" si="2"/>
        <v>0.13370000000000001</v>
      </c>
      <c r="X22" s="8">
        <f t="shared" si="2"/>
        <v>0.10768999999999999</v>
      </c>
      <c r="Y22" s="8">
        <f t="shared" si="2"/>
        <v>0.13331000000000001</v>
      </c>
      <c r="Z22" s="8">
        <f t="shared" si="2"/>
        <v>0.14157</v>
      </c>
      <c r="AA22" s="8">
        <f t="shared" si="2"/>
        <v>3.2039</v>
      </c>
    </row>
    <row r="23" spans="1:30" x14ac:dyDescent="0.25">
      <c r="A23" s="9" t="s">
        <v>80</v>
      </c>
      <c r="O23" s="9" t="s">
        <v>78</v>
      </c>
    </row>
    <row r="24" spans="1:30" x14ac:dyDescent="0.25">
      <c r="A24" s="9" t="s">
        <v>1</v>
      </c>
      <c r="B24" s="8">
        <v>1</v>
      </c>
      <c r="C24" s="8">
        <v>2</v>
      </c>
      <c r="D24" s="8">
        <v>3</v>
      </c>
      <c r="E24" s="8">
        <v>4</v>
      </c>
      <c r="F24" s="8">
        <v>5</v>
      </c>
      <c r="G24" s="8">
        <v>6</v>
      </c>
      <c r="H24" s="8">
        <v>7</v>
      </c>
      <c r="I24" s="8">
        <v>8</v>
      </c>
      <c r="J24" s="8">
        <v>9</v>
      </c>
      <c r="K24" s="8">
        <v>10</v>
      </c>
      <c r="L24" s="8">
        <v>11</v>
      </c>
      <c r="M24" s="8">
        <v>12</v>
      </c>
      <c r="O24" s="9" t="s">
        <v>1</v>
      </c>
      <c r="P24" s="8">
        <v>1</v>
      </c>
      <c r="Q24" s="8">
        <v>2</v>
      </c>
      <c r="R24" s="8">
        <v>3</v>
      </c>
      <c r="S24" s="8">
        <v>4</v>
      </c>
      <c r="T24" s="8">
        <v>5</v>
      </c>
      <c r="U24" s="8">
        <v>6</v>
      </c>
      <c r="V24" s="8">
        <v>7</v>
      </c>
      <c r="W24" s="8">
        <v>8</v>
      </c>
      <c r="X24" s="8">
        <v>9</v>
      </c>
      <c r="Y24" s="8">
        <v>10</v>
      </c>
      <c r="Z24" s="8">
        <v>11</v>
      </c>
      <c r="AA24" s="8">
        <v>12</v>
      </c>
      <c r="AC24" s="2" t="s">
        <v>42</v>
      </c>
    </row>
    <row r="25" spans="1:30" x14ac:dyDescent="0.25">
      <c r="A25" s="9" t="s">
        <v>2</v>
      </c>
      <c r="B25" s="8">
        <v>0.20637</v>
      </c>
      <c r="C25" s="8">
        <v>0.25778000000000001</v>
      </c>
      <c r="D25" s="8">
        <v>0.18851000000000001</v>
      </c>
      <c r="E25" s="8">
        <v>0.13736999999999999</v>
      </c>
      <c r="F25" s="8">
        <v>0.35063</v>
      </c>
      <c r="G25" s="8">
        <v>8.5546999999999998E-2</v>
      </c>
      <c r="H25" s="8">
        <v>0.27801999999999999</v>
      </c>
      <c r="I25" s="8">
        <v>0.35610000000000003</v>
      </c>
      <c r="J25" s="8">
        <v>0.18015999999999999</v>
      </c>
      <c r="K25" s="8">
        <v>0.14781</v>
      </c>
      <c r="L25" s="8">
        <v>0.23341999999999999</v>
      </c>
      <c r="M25" s="8">
        <v>8.1823999999999994E-2</v>
      </c>
      <c r="O25" s="9" t="s">
        <v>2</v>
      </c>
      <c r="P25" s="8">
        <f>B25</f>
        <v>0.20637</v>
      </c>
      <c r="Q25" s="8">
        <f t="shared" ref="Q25:AA32" si="4">C25</f>
        <v>0.25778000000000001</v>
      </c>
      <c r="R25" s="8">
        <f t="shared" si="4"/>
        <v>0.18851000000000001</v>
      </c>
      <c r="S25" s="8">
        <f t="shared" si="4"/>
        <v>0.13736999999999999</v>
      </c>
      <c r="T25" s="8">
        <f t="shared" si="4"/>
        <v>0.35063</v>
      </c>
      <c r="U25" s="8">
        <f t="shared" si="4"/>
        <v>8.5546999999999998E-2</v>
      </c>
      <c r="V25" s="8">
        <f t="shared" si="4"/>
        <v>0.27801999999999999</v>
      </c>
      <c r="W25" s="8">
        <f t="shared" si="4"/>
        <v>0.35610000000000003</v>
      </c>
      <c r="X25" s="8">
        <f t="shared" si="4"/>
        <v>0.18015999999999999</v>
      </c>
      <c r="Y25" s="8">
        <f t="shared" si="4"/>
        <v>0.14781</v>
      </c>
      <c r="Z25" s="8">
        <f t="shared" si="4"/>
        <v>0.23341999999999999</v>
      </c>
      <c r="AA25" s="8">
        <f t="shared" si="4"/>
        <v>8.1823999999999994E-2</v>
      </c>
      <c r="AC25" s="8" t="s">
        <v>12</v>
      </c>
      <c r="AD25" s="8">
        <f>AVERAGE(U31,U32,AA31,AA32)</f>
        <v>3.4339499999999998</v>
      </c>
    </row>
    <row r="26" spans="1:30" x14ac:dyDescent="0.25">
      <c r="A26" s="9" t="s">
        <v>3</v>
      </c>
      <c r="B26" s="8">
        <v>0.15656999999999999</v>
      </c>
      <c r="C26" s="8">
        <v>9.8511000000000001E-2</v>
      </c>
      <c r="D26" s="8">
        <v>0.12274</v>
      </c>
      <c r="E26" s="8">
        <v>9.4560000000000005E-2</v>
      </c>
      <c r="F26" s="8">
        <v>0.11226</v>
      </c>
      <c r="G26" s="8">
        <v>6.9890999999999995E-2</v>
      </c>
      <c r="H26" s="8">
        <v>0.15887999999999999</v>
      </c>
      <c r="I26" s="8">
        <v>0.10602</v>
      </c>
      <c r="J26" s="8">
        <v>0.11425</v>
      </c>
      <c r="K26" s="8">
        <v>0.10742</v>
      </c>
      <c r="L26" s="8">
        <v>9.3773999999999996E-2</v>
      </c>
      <c r="M26" s="8">
        <v>7.2105000000000002E-2</v>
      </c>
      <c r="O26" s="9" t="s">
        <v>3</v>
      </c>
      <c r="P26" s="8">
        <f t="shared" ref="P26:P32" si="5">B26</f>
        <v>0.15656999999999999</v>
      </c>
      <c r="Q26" s="8">
        <f t="shared" si="4"/>
        <v>9.8511000000000001E-2</v>
      </c>
      <c r="R26" s="8">
        <f t="shared" si="4"/>
        <v>0.12274</v>
      </c>
      <c r="S26" s="8">
        <f t="shared" si="4"/>
        <v>9.4560000000000005E-2</v>
      </c>
      <c r="T26" s="8">
        <f t="shared" si="4"/>
        <v>0.11226</v>
      </c>
      <c r="U26" s="8">
        <f t="shared" si="4"/>
        <v>6.9890999999999995E-2</v>
      </c>
      <c r="V26" s="8">
        <f t="shared" si="4"/>
        <v>0.15887999999999999</v>
      </c>
      <c r="W26" s="8">
        <f t="shared" si="4"/>
        <v>0.10602</v>
      </c>
      <c r="X26" s="8">
        <f t="shared" si="4"/>
        <v>0.11425</v>
      </c>
      <c r="Y26" s="8">
        <f t="shared" si="4"/>
        <v>0.10742</v>
      </c>
      <c r="Z26" s="8">
        <f t="shared" si="4"/>
        <v>9.3773999999999996E-2</v>
      </c>
      <c r="AA26" s="8">
        <f t="shared" si="4"/>
        <v>7.2105000000000002E-2</v>
      </c>
      <c r="AC26" s="8" t="s">
        <v>13</v>
      </c>
      <c r="AD26" s="8">
        <f>AVERAGE(U25,U26,U27,U28,U29,U30,AA25,AA26,AA27,AA28,AA29,AA30,)</f>
        <v>8.6000769230769228E-2</v>
      </c>
    </row>
    <row r="27" spans="1:30" x14ac:dyDescent="0.25">
      <c r="A27" s="9" t="s">
        <v>4</v>
      </c>
      <c r="B27" s="8">
        <v>0.32611000000000001</v>
      </c>
      <c r="C27" s="8">
        <v>0.12406</v>
      </c>
      <c r="D27" s="8">
        <v>0.15132999999999999</v>
      </c>
      <c r="E27" s="8">
        <v>0.29082000000000002</v>
      </c>
      <c r="F27" s="8">
        <v>0.18476000000000001</v>
      </c>
      <c r="G27" s="8">
        <v>6.8042000000000005E-2</v>
      </c>
      <c r="H27" s="8">
        <v>0.21571000000000001</v>
      </c>
      <c r="I27" s="8">
        <v>0.10319</v>
      </c>
      <c r="J27" s="8">
        <v>0.15281</v>
      </c>
      <c r="K27" s="8">
        <v>0.35365000000000002</v>
      </c>
      <c r="L27" s="8">
        <v>0.14929999999999999</v>
      </c>
      <c r="M27" s="8">
        <v>6.3929E-2</v>
      </c>
      <c r="O27" s="9" t="s">
        <v>4</v>
      </c>
      <c r="P27" s="8">
        <f t="shared" si="5"/>
        <v>0.32611000000000001</v>
      </c>
      <c r="Q27" s="8">
        <f t="shared" si="4"/>
        <v>0.12406</v>
      </c>
      <c r="R27" s="8">
        <f t="shared" si="4"/>
        <v>0.15132999999999999</v>
      </c>
      <c r="S27" s="8">
        <f t="shared" si="4"/>
        <v>0.29082000000000002</v>
      </c>
      <c r="T27" s="8">
        <f t="shared" si="4"/>
        <v>0.18476000000000001</v>
      </c>
      <c r="U27" s="8">
        <f t="shared" si="4"/>
        <v>6.8042000000000005E-2</v>
      </c>
      <c r="V27" s="8">
        <f t="shared" si="4"/>
        <v>0.21571000000000001</v>
      </c>
      <c r="W27" s="8">
        <f t="shared" si="4"/>
        <v>0.10319</v>
      </c>
      <c r="X27" s="8">
        <f t="shared" si="4"/>
        <v>0.15281</v>
      </c>
      <c r="Y27" s="8">
        <f t="shared" si="4"/>
        <v>0.35365000000000002</v>
      </c>
      <c r="Z27" s="8">
        <f t="shared" si="4"/>
        <v>0.14929999999999999</v>
      </c>
      <c r="AA27" s="8">
        <f t="shared" si="4"/>
        <v>6.3929E-2</v>
      </c>
      <c r="AC27" s="8" t="s">
        <v>14</v>
      </c>
      <c r="AD27" s="8">
        <f>AD26+(0.35*AD25)</f>
        <v>1.2878832692307691</v>
      </c>
    </row>
    <row r="28" spans="1:30" x14ac:dyDescent="0.25">
      <c r="A28" s="9" t="s">
        <v>5</v>
      </c>
      <c r="B28" s="8">
        <v>0.15684000000000001</v>
      </c>
      <c r="C28" s="8">
        <v>0.10888</v>
      </c>
      <c r="D28" s="8">
        <v>0.16134000000000001</v>
      </c>
      <c r="E28" s="8">
        <v>0.10464</v>
      </c>
      <c r="F28" s="8">
        <v>0.10342</v>
      </c>
      <c r="G28" s="8">
        <v>6.3195000000000001E-2</v>
      </c>
      <c r="H28" s="8">
        <v>0.10417</v>
      </c>
      <c r="I28" s="8">
        <v>0.11587</v>
      </c>
      <c r="J28" s="8">
        <v>0.13335</v>
      </c>
      <c r="K28" s="8">
        <v>0.12438</v>
      </c>
      <c r="L28" s="8">
        <v>9.5870999999999998E-2</v>
      </c>
      <c r="M28" s="8">
        <v>6.0939E-2</v>
      </c>
      <c r="O28" s="9" t="s">
        <v>5</v>
      </c>
      <c r="P28" s="8">
        <f t="shared" si="5"/>
        <v>0.15684000000000001</v>
      </c>
      <c r="Q28" s="8">
        <f t="shared" si="4"/>
        <v>0.10888</v>
      </c>
      <c r="R28" s="8">
        <f t="shared" si="4"/>
        <v>0.16134000000000001</v>
      </c>
      <c r="S28" s="8">
        <f t="shared" si="4"/>
        <v>0.10464</v>
      </c>
      <c r="T28" s="8">
        <f t="shared" si="4"/>
        <v>0.10342</v>
      </c>
      <c r="U28" s="8">
        <f t="shared" si="4"/>
        <v>6.3195000000000001E-2</v>
      </c>
      <c r="V28" s="8">
        <f t="shared" si="4"/>
        <v>0.10417</v>
      </c>
      <c r="W28" s="8">
        <f t="shared" si="4"/>
        <v>0.11587</v>
      </c>
      <c r="X28" s="8">
        <f t="shared" si="4"/>
        <v>0.13335</v>
      </c>
      <c r="Y28" s="8">
        <f t="shared" si="4"/>
        <v>0.12438</v>
      </c>
      <c r="Z28" s="8">
        <f t="shared" si="4"/>
        <v>9.5870999999999998E-2</v>
      </c>
      <c r="AA28" s="8">
        <f t="shared" si="4"/>
        <v>6.0939E-2</v>
      </c>
      <c r="AC28" s="8" t="s">
        <v>15</v>
      </c>
      <c r="AD28" s="8">
        <f>AD26+(0.25*AD25)</f>
        <v>0.94448826923076923</v>
      </c>
    </row>
    <row r="29" spans="1:30" x14ac:dyDescent="0.25">
      <c r="A29" s="9" t="s">
        <v>6</v>
      </c>
      <c r="B29" s="8">
        <v>0.12139999999999999</v>
      </c>
      <c r="C29" s="8">
        <v>1.1605000000000001</v>
      </c>
      <c r="D29" s="8">
        <v>0.14773</v>
      </c>
      <c r="E29" s="8">
        <v>9.3505000000000005E-2</v>
      </c>
      <c r="F29" s="8">
        <v>9.0906000000000001E-2</v>
      </c>
      <c r="G29" s="8">
        <v>6.8788000000000002E-2</v>
      </c>
      <c r="H29" s="8">
        <v>0.12529999999999999</v>
      </c>
      <c r="I29" s="8">
        <v>0.87151000000000001</v>
      </c>
      <c r="J29" s="8">
        <v>0.11808</v>
      </c>
      <c r="K29" s="8">
        <v>0.13369</v>
      </c>
      <c r="L29" s="8">
        <v>8.8806999999999997E-2</v>
      </c>
      <c r="M29" s="8">
        <v>0.11848</v>
      </c>
      <c r="O29" s="9" t="s">
        <v>6</v>
      </c>
      <c r="P29" s="8">
        <f t="shared" si="5"/>
        <v>0.12139999999999999</v>
      </c>
      <c r="Q29" s="8">
        <f t="shared" si="4"/>
        <v>1.1605000000000001</v>
      </c>
      <c r="R29" s="8">
        <f t="shared" si="4"/>
        <v>0.14773</v>
      </c>
      <c r="S29" s="8">
        <f t="shared" si="4"/>
        <v>9.3505000000000005E-2</v>
      </c>
      <c r="T29" s="8">
        <f t="shared" si="4"/>
        <v>9.0906000000000001E-2</v>
      </c>
      <c r="U29" s="8">
        <f t="shared" si="4"/>
        <v>6.8788000000000002E-2</v>
      </c>
      <c r="V29" s="8">
        <f t="shared" si="4"/>
        <v>0.12529999999999999</v>
      </c>
      <c r="W29" s="8">
        <f t="shared" si="4"/>
        <v>0.87151000000000001</v>
      </c>
      <c r="X29" s="8">
        <f t="shared" si="4"/>
        <v>0.11808</v>
      </c>
      <c r="Y29" s="8">
        <f t="shared" si="4"/>
        <v>0.13369</v>
      </c>
      <c r="Z29" s="8">
        <f t="shared" si="4"/>
        <v>8.8806999999999997E-2</v>
      </c>
      <c r="AA29" s="8">
        <f t="shared" si="4"/>
        <v>0.11848</v>
      </c>
      <c r="AC29" s="8" t="s">
        <v>16</v>
      </c>
      <c r="AD29" s="8">
        <f>AD25/AD26</f>
        <v>39.929294013470361</v>
      </c>
    </row>
    <row r="30" spans="1:30" x14ac:dyDescent="0.25">
      <c r="A30" s="9" t="s">
        <v>7</v>
      </c>
      <c r="B30" s="8">
        <v>0.13023000000000001</v>
      </c>
      <c r="C30" s="8">
        <v>0.27196999999999999</v>
      </c>
      <c r="D30" s="8">
        <v>0.14069999999999999</v>
      </c>
      <c r="E30" s="8">
        <v>0.25857000000000002</v>
      </c>
      <c r="F30" s="8">
        <v>0.14080999999999999</v>
      </c>
      <c r="G30" s="8">
        <v>0.18901999999999999</v>
      </c>
      <c r="H30" s="8">
        <v>9.7236000000000003E-2</v>
      </c>
      <c r="I30" s="8">
        <v>0.16347</v>
      </c>
      <c r="J30" s="8">
        <v>9.9395999999999998E-2</v>
      </c>
      <c r="K30" s="8">
        <v>0.25125999999999998</v>
      </c>
      <c r="L30" s="8">
        <v>0.10982</v>
      </c>
      <c r="M30" s="8">
        <v>0.17624999999999999</v>
      </c>
      <c r="O30" s="9" t="s">
        <v>7</v>
      </c>
      <c r="P30" s="8">
        <f t="shared" si="5"/>
        <v>0.13023000000000001</v>
      </c>
      <c r="Q30" s="8">
        <f t="shared" si="4"/>
        <v>0.27196999999999999</v>
      </c>
      <c r="R30" s="8">
        <f t="shared" si="4"/>
        <v>0.14069999999999999</v>
      </c>
      <c r="S30" s="8">
        <f t="shared" si="4"/>
        <v>0.25857000000000002</v>
      </c>
      <c r="T30" s="8">
        <f t="shared" si="4"/>
        <v>0.14080999999999999</v>
      </c>
      <c r="U30" s="8">
        <f t="shared" si="4"/>
        <v>0.18901999999999999</v>
      </c>
      <c r="V30" s="8">
        <f t="shared" si="4"/>
        <v>9.7236000000000003E-2</v>
      </c>
      <c r="W30" s="8">
        <f t="shared" si="4"/>
        <v>0.16347</v>
      </c>
      <c r="X30" s="8">
        <f t="shared" si="4"/>
        <v>9.9395999999999998E-2</v>
      </c>
      <c r="Y30" s="8">
        <f t="shared" si="4"/>
        <v>0.25125999999999998</v>
      </c>
      <c r="Z30" s="8">
        <f t="shared" si="4"/>
        <v>0.10982</v>
      </c>
      <c r="AA30" s="8">
        <f t="shared" si="4"/>
        <v>0.17624999999999999</v>
      </c>
    </row>
    <row r="31" spans="1:30" x14ac:dyDescent="0.25">
      <c r="A31" s="9" t="s">
        <v>8</v>
      </c>
      <c r="B31" s="8">
        <v>0.15529999999999999</v>
      </c>
      <c r="C31" s="8">
        <v>0.13053999999999999</v>
      </c>
      <c r="D31" s="8">
        <v>9.6156000000000005E-2</v>
      </c>
      <c r="E31" s="8">
        <v>0.10112</v>
      </c>
      <c r="F31" s="8">
        <v>0.18429000000000001</v>
      </c>
      <c r="G31" s="8">
        <v>3.4129999999999998</v>
      </c>
      <c r="H31" s="8">
        <v>0.14288999999999999</v>
      </c>
      <c r="I31" s="8">
        <v>0.10507</v>
      </c>
      <c r="J31" s="8">
        <v>7.9503000000000004E-2</v>
      </c>
      <c r="K31" s="8">
        <v>9.3172000000000005E-2</v>
      </c>
      <c r="L31" s="8">
        <v>0.11974</v>
      </c>
      <c r="M31" s="8">
        <v>3.4072</v>
      </c>
      <c r="O31" s="9" t="s">
        <v>8</v>
      </c>
      <c r="P31" s="8">
        <f t="shared" si="5"/>
        <v>0.15529999999999999</v>
      </c>
      <c r="Q31" s="8">
        <f t="shared" si="4"/>
        <v>0.13053999999999999</v>
      </c>
      <c r="R31" s="8">
        <f t="shared" si="4"/>
        <v>9.6156000000000005E-2</v>
      </c>
      <c r="S31" s="8">
        <f t="shared" si="4"/>
        <v>0.10112</v>
      </c>
      <c r="T31" s="8">
        <f t="shared" si="4"/>
        <v>0.18429000000000001</v>
      </c>
      <c r="U31" s="8">
        <f t="shared" si="4"/>
        <v>3.4129999999999998</v>
      </c>
      <c r="V31" s="8">
        <f t="shared" si="4"/>
        <v>0.14288999999999999</v>
      </c>
      <c r="W31" s="8">
        <f t="shared" si="4"/>
        <v>0.10507</v>
      </c>
      <c r="X31" s="8">
        <f t="shared" si="4"/>
        <v>7.9503000000000004E-2</v>
      </c>
      <c r="Y31" s="8">
        <f t="shared" si="4"/>
        <v>9.3172000000000005E-2</v>
      </c>
      <c r="Z31" s="8">
        <f t="shared" si="4"/>
        <v>0.11974</v>
      </c>
      <c r="AA31" s="8">
        <f t="shared" si="4"/>
        <v>3.4072</v>
      </c>
      <c r="AC31" s="8" t="s">
        <v>17</v>
      </c>
      <c r="AD31" s="8" t="str">
        <f>IF((AND(AD25&gt;2,AD25&lt;3,AD29&gt;10)),"PASS","FAIL")</f>
        <v>FAIL</v>
      </c>
    </row>
    <row r="32" spans="1:30" x14ac:dyDescent="0.25">
      <c r="A32" s="9" t="s">
        <v>9</v>
      </c>
      <c r="B32" s="8">
        <v>0.16769999999999999</v>
      </c>
      <c r="C32" s="8">
        <v>0.12836</v>
      </c>
      <c r="D32" s="8">
        <v>6.7525000000000002E-2</v>
      </c>
      <c r="E32" s="8">
        <v>0.11271</v>
      </c>
      <c r="F32" s="8">
        <v>0.25078</v>
      </c>
      <c r="G32" s="8">
        <v>3.4527999999999999</v>
      </c>
      <c r="H32" s="8">
        <v>0.21418999999999999</v>
      </c>
      <c r="I32" s="8">
        <v>0.15704000000000001</v>
      </c>
      <c r="J32" s="8">
        <v>0.114</v>
      </c>
      <c r="K32" s="8">
        <v>0.16378999999999999</v>
      </c>
      <c r="L32" s="8">
        <v>0.18842999999999999</v>
      </c>
      <c r="M32" s="8">
        <v>3.4628000000000001</v>
      </c>
      <c r="O32" s="9" t="s">
        <v>9</v>
      </c>
      <c r="P32" s="8">
        <f t="shared" si="5"/>
        <v>0.16769999999999999</v>
      </c>
      <c r="Q32" s="8">
        <f t="shared" si="4"/>
        <v>0.12836</v>
      </c>
      <c r="R32" s="8">
        <f t="shared" si="4"/>
        <v>6.7525000000000002E-2</v>
      </c>
      <c r="S32" s="8">
        <f t="shared" si="4"/>
        <v>0.11271</v>
      </c>
      <c r="T32" s="8">
        <f t="shared" si="4"/>
        <v>0.25078</v>
      </c>
      <c r="U32" s="8">
        <f t="shared" si="4"/>
        <v>3.4527999999999999</v>
      </c>
      <c r="V32" s="8">
        <f t="shared" si="4"/>
        <v>0.21418999999999999</v>
      </c>
      <c r="W32" s="8">
        <f t="shared" si="4"/>
        <v>0.15704000000000001</v>
      </c>
      <c r="X32" s="8">
        <f t="shared" si="4"/>
        <v>0.114</v>
      </c>
      <c r="Y32" s="8">
        <f t="shared" si="4"/>
        <v>0.16378999999999999</v>
      </c>
      <c r="Z32" s="8">
        <f t="shared" si="4"/>
        <v>0.18842999999999999</v>
      </c>
      <c r="AA32" s="8">
        <f t="shared" si="4"/>
        <v>3.4628000000000001</v>
      </c>
    </row>
    <row r="33" spans="1:13" x14ac:dyDescent="0.25">
      <c r="A33" s="9" t="s">
        <v>10</v>
      </c>
    </row>
    <row r="34" spans="1:13" x14ac:dyDescent="0.25">
      <c r="A34" s="9" t="s">
        <v>1</v>
      </c>
      <c r="B34" s="8">
        <v>1</v>
      </c>
      <c r="C34" s="8">
        <v>2</v>
      </c>
      <c r="D34" s="8">
        <v>3</v>
      </c>
      <c r="E34" s="8">
        <v>4</v>
      </c>
      <c r="F34" s="8">
        <v>5</v>
      </c>
      <c r="G34" s="8">
        <v>6</v>
      </c>
      <c r="H34" s="8">
        <v>7</v>
      </c>
      <c r="I34" s="8">
        <v>8</v>
      </c>
      <c r="J34" s="8">
        <v>9</v>
      </c>
      <c r="K34" s="8">
        <v>10</v>
      </c>
      <c r="L34" s="8">
        <v>11</v>
      </c>
      <c r="M34" s="8">
        <v>12</v>
      </c>
    </row>
    <row r="35" spans="1:13" x14ac:dyDescent="0.25">
      <c r="A35" s="9" t="s">
        <v>2</v>
      </c>
      <c r="B35" s="8">
        <v>0.12655</v>
      </c>
      <c r="C35" s="8">
        <v>0.15901000000000001</v>
      </c>
      <c r="D35" s="8">
        <v>0.10018000000000001</v>
      </c>
      <c r="E35" s="8">
        <v>8.7209999999999996E-2</v>
      </c>
      <c r="F35" s="8">
        <v>0.14036999999999999</v>
      </c>
      <c r="G35" s="8">
        <v>6.7615999999999996E-2</v>
      </c>
      <c r="H35" s="9" t="s">
        <v>20</v>
      </c>
      <c r="I35" s="9" t="s">
        <v>20</v>
      </c>
      <c r="J35" s="9" t="s">
        <v>20</v>
      </c>
      <c r="K35" s="9" t="s">
        <v>20</v>
      </c>
      <c r="L35" s="9" t="s">
        <v>20</v>
      </c>
      <c r="M35" s="9" t="s">
        <v>20</v>
      </c>
    </row>
    <row r="36" spans="1:13" x14ac:dyDescent="0.25">
      <c r="A36" s="9" t="s">
        <v>3</v>
      </c>
      <c r="B36" s="8">
        <v>9.9062999999999998E-2</v>
      </c>
      <c r="C36" s="8">
        <v>7.4090000000000003E-2</v>
      </c>
      <c r="D36" s="8">
        <v>8.0034999999999995E-2</v>
      </c>
      <c r="E36" s="8">
        <v>7.3383000000000004E-2</v>
      </c>
      <c r="F36" s="8">
        <v>7.4784000000000003E-2</v>
      </c>
      <c r="G36" s="9" t="s">
        <v>20</v>
      </c>
      <c r="H36" s="9" t="s">
        <v>20</v>
      </c>
      <c r="I36" s="9" t="s">
        <v>20</v>
      </c>
      <c r="J36" s="9" t="s">
        <v>20</v>
      </c>
      <c r="K36" s="9" t="s">
        <v>20</v>
      </c>
      <c r="L36" s="9" t="s">
        <v>20</v>
      </c>
      <c r="M36" s="9" t="s">
        <v>20</v>
      </c>
    </row>
    <row r="37" spans="1:13" x14ac:dyDescent="0.25">
      <c r="A37" s="9" t="s">
        <v>4</v>
      </c>
      <c r="B37" s="8">
        <v>0.13794999999999999</v>
      </c>
      <c r="C37" s="8">
        <v>7.8382999999999994E-2</v>
      </c>
      <c r="D37" s="8">
        <v>9.4087000000000004E-2</v>
      </c>
      <c r="E37" s="8">
        <v>0.16217999999999999</v>
      </c>
      <c r="F37" s="8">
        <v>9.9124000000000004E-2</v>
      </c>
      <c r="G37" s="9" t="s">
        <v>20</v>
      </c>
      <c r="H37" s="9" t="s">
        <v>20</v>
      </c>
      <c r="I37" s="9" t="s">
        <v>20</v>
      </c>
      <c r="J37" s="9" t="s">
        <v>20</v>
      </c>
      <c r="K37" s="9" t="s">
        <v>20</v>
      </c>
      <c r="L37" s="9" t="s">
        <v>20</v>
      </c>
      <c r="M37" s="9" t="s">
        <v>20</v>
      </c>
    </row>
    <row r="38" spans="1:13" x14ac:dyDescent="0.25">
      <c r="A38" s="9" t="s">
        <v>5</v>
      </c>
      <c r="B38" s="8">
        <v>8.5457000000000005E-2</v>
      </c>
      <c r="C38" s="8">
        <v>8.5675000000000001E-2</v>
      </c>
      <c r="D38" s="8">
        <v>9.1443999999999998E-2</v>
      </c>
      <c r="E38" s="8">
        <v>8.1266000000000005E-2</v>
      </c>
      <c r="F38" s="8">
        <v>7.2547E-2</v>
      </c>
      <c r="G38" s="9" t="s">
        <v>20</v>
      </c>
      <c r="H38" s="9" t="s">
        <v>20</v>
      </c>
      <c r="I38" s="9" t="s">
        <v>20</v>
      </c>
      <c r="J38" s="9" t="s">
        <v>20</v>
      </c>
      <c r="K38" s="9" t="s">
        <v>20</v>
      </c>
      <c r="L38" s="9" t="s">
        <v>20</v>
      </c>
      <c r="M38" s="9" t="s">
        <v>20</v>
      </c>
    </row>
    <row r="39" spans="1:13" x14ac:dyDescent="0.25">
      <c r="A39" s="9" t="s">
        <v>6</v>
      </c>
      <c r="B39" s="8">
        <v>9.1297000000000003E-2</v>
      </c>
      <c r="C39" s="8">
        <v>0.45726</v>
      </c>
      <c r="D39" s="8">
        <v>8.7113999999999997E-2</v>
      </c>
      <c r="E39" s="8">
        <v>8.7638999999999995E-2</v>
      </c>
      <c r="F39" s="8">
        <v>6.9417000000000006E-2</v>
      </c>
      <c r="G39" s="9" t="s">
        <v>20</v>
      </c>
      <c r="H39" s="9" t="s">
        <v>20</v>
      </c>
      <c r="I39" s="9" t="s">
        <v>20</v>
      </c>
      <c r="J39" s="9" t="s">
        <v>20</v>
      </c>
      <c r="K39" s="9" t="s">
        <v>20</v>
      </c>
      <c r="L39" s="9" t="s">
        <v>20</v>
      </c>
      <c r="M39" s="9" t="s">
        <v>20</v>
      </c>
    </row>
    <row r="40" spans="1:13" x14ac:dyDescent="0.25">
      <c r="A40" s="9" t="s">
        <v>7</v>
      </c>
      <c r="B40" s="8">
        <v>8.0631999999999995E-2</v>
      </c>
      <c r="C40" s="8">
        <v>0.11955</v>
      </c>
      <c r="D40" s="8">
        <v>8.0866999999999994E-2</v>
      </c>
      <c r="E40" s="8">
        <v>0.13421</v>
      </c>
      <c r="F40" s="8">
        <v>8.4875999999999993E-2</v>
      </c>
      <c r="G40" s="8">
        <v>0.10784000000000001</v>
      </c>
      <c r="H40" s="9" t="s">
        <v>20</v>
      </c>
      <c r="I40" s="9" t="s">
        <v>20</v>
      </c>
      <c r="J40" s="9" t="s">
        <v>20</v>
      </c>
      <c r="K40" s="9" t="s">
        <v>20</v>
      </c>
      <c r="L40" s="9" t="s">
        <v>20</v>
      </c>
      <c r="M40" s="9" t="s">
        <v>20</v>
      </c>
    </row>
    <row r="41" spans="1:13" x14ac:dyDescent="0.25">
      <c r="A41" s="9" t="s">
        <v>8</v>
      </c>
      <c r="B41" s="8">
        <v>0.10493</v>
      </c>
      <c r="C41" s="8">
        <v>7.9570000000000002E-2</v>
      </c>
      <c r="D41" s="8">
        <v>6.9459000000000007E-2</v>
      </c>
      <c r="E41" s="8">
        <v>7.7344999999999997E-2</v>
      </c>
      <c r="F41" s="8">
        <v>9.2990000000000003E-2</v>
      </c>
      <c r="G41" s="9" t="s">
        <v>20</v>
      </c>
      <c r="H41" s="9" t="s">
        <v>20</v>
      </c>
      <c r="I41" s="9" t="s">
        <v>20</v>
      </c>
      <c r="J41" s="9" t="s">
        <v>20</v>
      </c>
      <c r="K41" s="9" t="s">
        <v>20</v>
      </c>
      <c r="L41" s="9" t="s">
        <v>20</v>
      </c>
      <c r="M41" s="9" t="s">
        <v>20</v>
      </c>
    </row>
    <row r="42" spans="1:13" x14ac:dyDescent="0.25">
      <c r="A42" s="9" t="s">
        <v>9</v>
      </c>
      <c r="B42" s="8">
        <v>0.13211999999999999</v>
      </c>
      <c r="C42" s="8">
        <v>9.9851999999999996E-2</v>
      </c>
      <c r="D42" s="8">
        <v>8.3803000000000002E-2</v>
      </c>
      <c r="E42" s="8">
        <v>9.9307000000000006E-2</v>
      </c>
      <c r="F42" s="8">
        <v>0.11853</v>
      </c>
      <c r="G42" s="8">
        <v>2.4634999999999998</v>
      </c>
      <c r="H42" s="9" t="s">
        <v>20</v>
      </c>
      <c r="I42" s="9" t="s">
        <v>20</v>
      </c>
      <c r="J42" s="9" t="s">
        <v>20</v>
      </c>
      <c r="K42" s="9" t="s">
        <v>20</v>
      </c>
      <c r="L42" s="9" t="s">
        <v>20</v>
      </c>
      <c r="M42" s="9" t="s">
        <v>20</v>
      </c>
    </row>
    <row r="43" spans="1:13" x14ac:dyDescent="0.25">
      <c r="A43" s="9" t="s">
        <v>81</v>
      </c>
    </row>
    <row r="44" spans="1:13" x14ac:dyDescent="0.25">
      <c r="A44" s="9" t="s">
        <v>1</v>
      </c>
      <c r="B44" s="8">
        <v>1</v>
      </c>
      <c r="C44" s="8">
        <v>2</v>
      </c>
      <c r="D44" s="8">
        <v>3</v>
      </c>
      <c r="E44" s="8">
        <v>4</v>
      </c>
      <c r="F44" s="8">
        <v>5</v>
      </c>
      <c r="G44" s="8">
        <v>6</v>
      </c>
      <c r="H44" s="8">
        <v>7</v>
      </c>
      <c r="I44" s="8">
        <v>8</v>
      </c>
      <c r="J44" s="8">
        <v>9</v>
      </c>
      <c r="K44" s="8">
        <v>10</v>
      </c>
      <c r="L44" s="8">
        <v>11</v>
      </c>
      <c r="M44" s="8">
        <v>12</v>
      </c>
    </row>
    <row r="45" spans="1:13" x14ac:dyDescent="0.25">
      <c r="A45" s="9" t="s">
        <v>2</v>
      </c>
      <c r="B45" s="8">
        <v>0.17544000000000001</v>
      </c>
      <c r="C45" s="8">
        <v>0.21740000000000001</v>
      </c>
      <c r="D45" s="8">
        <v>0.13605</v>
      </c>
      <c r="E45" s="8">
        <v>0.11126999999999999</v>
      </c>
      <c r="F45" s="8">
        <v>0.20382</v>
      </c>
      <c r="G45" s="8">
        <v>6.9749000000000005E-2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</row>
    <row r="46" spans="1:13" x14ac:dyDescent="0.25">
      <c r="A46" s="9" t="s">
        <v>3</v>
      </c>
      <c r="B46" s="8">
        <v>0.12249</v>
      </c>
      <c r="C46" s="8">
        <v>8.6541999999999994E-2</v>
      </c>
      <c r="D46" s="8">
        <v>9.7367999999999996E-2</v>
      </c>
      <c r="E46" s="8">
        <v>8.5838999999999999E-2</v>
      </c>
      <c r="F46" s="8">
        <v>8.6477999999999999E-2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</row>
    <row r="47" spans="1:13" x14ac:dyDescent="0.25">
      <c r="A47" s="9" t="s">
        <v>4</v>
      </c>
      <c r="B47" s="8">
        <v>0.19534000000000001</v>
      </c>
      <c r="C47" s="8">
        <v>9.3615000000000004E-2</v>
      </c>
      <c r="D47" s="8">
        <v>0.11752</v>
      </c>
      <c r="E47" s="8">
        <v>0.23469000000000001</v>
      </c>
      <c r="F47" s="8">
        <v>0.12847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</row>
    <row r="48" spans="1:13" x14ac:dyDescent="0.25">
      <c r="A48" s="9" t="s">
        <v>5</v>
      </c>
      <c r="B48" s="8">
        <v>0.10527</v>
      </c>
      <c r="C48" s="8">
        <v>9.5092999999999997E-2</v>
      </c>
      <c r="D48" s="8">
        <v>0.1145</v>
      </c>
      <c r="E48" s="8">
        <v>9.4499E-2</v>
      </c>
      <c r="F48" s="8">
        <v>8.3909999999999998E-2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</row>
    <row r="49" spans="1:13" x14ac:dyDescent="0.25">
      <c r="A49" s="9" t="s">
        <v>6</v>
      </c>
      <c r="B49" s="8">
        <v>0.10494000000000001</v>
      </c>
      <c r="C49" s="8">
        <v>0.71140999999999999</v>
      </c>
      <c r="D49" s="8">
        <v>0.10664</v>
      </c>
      <c r="E49" s="8">
        <v>9.8913000000000001E-2</v>
      </c>
      <c r="F49" s="8">
        <v>7.7756000000000006E-2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</row>
    <row r="50" spans="1:13" x14ac:dyDescent="0.25">
      <c r="A50" s="9" t="s">
        <v>7</v>
      </c>
      <c r="B50" s="8">
        <v>9.3211000000000002E-2</v>
      </c>
      <c r="C50" s="8">
        <v>0.15995999999999999</v>
      </c>
      <c r="D50" s="8">
        <v>9.7420000000000007E-2</v>
      </c>
      <c r="E50" s="8">
        <v>0.18634999999999999</v>
      </c>
      <c r="F50" s="8">
        <v>0.10111000000000001</v>
      </c>
      <c r="G50" s="8">
        <v>0.13935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</row>
    <row r="51" spans="1:13" x14ac:dyDescent="0.25">
      <c r="A51" s="9" t="s">
        <v>8</v>
      </c>
      <c r="B51" s="8">
        <v>0.12139</v>
      </c>
      <c r="C51" s="8">
        <v>9.5976000000000006E-2</v>
      </c>
      <c r="D51" s="8">
        <v>7.7158000000000004E-2</v>
      </c>
      <c r="E51" s="8">
        <v>8.4609000000000004E-2</v>
      </c>
      <c r="F51" s="8">
        <v>0.11815000000000001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</row>
    <row r="52" spans="1:13" x14ac:dyDescent="0.25">
      <c r="A52" s="9" t="s">
        <v>9</v>
      </c>
      <c r="B52" s="8">
        <v>0.15389</v>
      </c>
      <c r="C52" s="8">
        <v>0.11759</v>
      </c>
      <c r="D52" s="8">
        <v>8.5402000000000006E-2</v>
      </c>
      <c r="E52" s="8">
        <v>0.11344</v>
      </c>
      <c r="F52" s="8">
        <v>0.16142000000000001</v>
      </c>
      <c r="G52" s="8">
        <v>3.1867000000000001</v>
      </c>
      <c r="H52" s="9" t="s">
        <v>20</v>
      </c>
      <c r="I52" s="9" t="s">
        <v>20</v>
      </c>
      <c r="J52" s="9" t="s">
        <v>20</v>
      </c>
      <c r="K52" s="9" t="s">
        <v>20</v>
      </c>
      <c r="L52" s="9" t="s">
        <v>20</v>
      </c>
      <c r="M52" s="9" t="s">
        <v>20</v>
      </c>
    </row>
    <row r="53" spans="1:13" x14ac:dyDescent="0.25">
      <c r="A53" s="9" t="s">
        <v>82</v>
      </c>
    </row>
    <row r="54" spans="1:13" x14ac:dyDescent="0.25">
      <c r="A54" s="9" t="s">
        <v>1</v>
      </c>
      <c r="B54" s="8">
        <v>1</v>
      </c>
      <c r="C54" s="8">
        <v>2</v>
      </c>
      <c r="D54" s="8">
        <v>3</v>
      </c>
      <c r="E54" s="8">
        <v>4</v>
      </c>
      <c r="F54" s="8">
        <v>5</v>
      </c>
      <c r="G54" s="8">
        <v>6</v>
      </c>
      <c r="H54" s="8">
        <v>7</v>
      </c>
      <c r="I54" s="8">
        <v>8</v>
      </c>
      <c r="J54" s="8">
        <v>9</v>
      </c>
      <c r="K54" s="8">
        <v>10</v>
      </c>
      <c r="L54" s="8">
        <v>11</v>
      </c>
      <c r="M54" s="8">
        <v>12</v>
      </c>
    </row>
    <row r="55" spans="1:13" x14ac:dyDescent="0.25">
      <c r="A55" s="9" t="s">
        <v>2</v>
      </c>
      <c r="B55" s="8">
        <v>0.2422</v>
      </c>
      <c r="C55" s="8">
        <v>0.30693999999999999</v>
      </c>
      <c r="D55" s="8">
        <v>0.18432999999999999</v>
      </c>
      <c r="E55" s="8">
        <v>0.14258999999999999</v>
      </c>
      <c r="F55" s="8">
        <v>0.29202</v>
      </c>
      <c r="G55" s="8">
        <v>7.5273999999999994E-2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</row>
    <row r="56" spans="1:13" x14ac:dyDescent="0.25">
      <c r="A56" s="9" t="s">
        <v>3</v>
      </c>
      <c r="B56" s="8">
        <v>0.15773000000000001</v>
      </c>
      <c r="C56" s="8">
        <v>0.10227</v>
      </c>
      <c r="D56" s="8">
        <v>0.11849</v>
      </c>
      <c r="E56" s="8">
        <v>0.10099</v>
      </c>
      <c r="F56" s="8">
        <v>0.10301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</row>
    <row r="57" spans="1:13" x14ac:dyDescent="0.25">
      <c r="A57" s="9" t="s">
        <v>4</v>
      </c>
      <c r="B57" s="8">
        <v>0.27090999999999998</v>
      </c>
      <c r="C57" s="8">
        <v>0.11362999999999999</v>
      </c>
      <c r="D57" s="8">
        <v>0.15207000000000001</v>
      </c>
      <c r="E57" s="8">
        <v>0.32224000000000003</v>
      </c>
      <c r="F57" s="8">
        <v>0.16703000000000001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</row>
    <row r="58" spans="1:13" x14ac:dyDescent="0.25">
      <c r="A58" s="9" t="s">
        <v>5</v>
      </c>
      <c r="B58" s="8">
        <v>0.13050999999999999</v>
      </c>
      <c r="C58" s="8">
        <v>0.11237999999999999</v>
      </c>
      <c r="D58" s="8">
        <v>0.14735000000000001</v>
      </c>
      <c r="E58" s="8">
        <v>0.11451</v>
      </c>
      <c r="F58" s="8">
        <v>9.9643999999999996E-2</v>
      </c>
      <c r="G58" s="9" t="s">
        <v>20</v>
      </c>
      <c r="H58" s="9" t="s">
        <v>20</v>
      </c>
      <c r="I58" s="9" t="s">
        <v>20</v>
      </c>
      <c r="J58" s="9" t="s">
        <v>20</v>
      </c>
      <c r="K58" s="9" t="s">
        <v>20</v>
      </c>
      <c r="L58" s="9" t="s">
        <v>20</v>
      </c>
      <c r="M58" s="9" t="s">
        <v>20</v>
      </c>
    </row>
    <row r="59" spans="1:13" x14ac:dyDescent="0.25">
      <c r="A59" s="9" t="s">
        <v>6</v>
      </c>
      <c r="B59" s="8">
        <v>0.12335</v>
      </c>
      <c r="C59" s="8">
        <v>1.016</v>
      </c>
      <c r="D59" s="8">
        <v>0.13289999999999999</v>
      </c>
      <c r="E59" s="8">
        <v>0.11360000000000001</v>
      </c>
      <c r="F59" s="8">
        <v>8.9856000000000005E-2</v>
      </c>
      <c r="G59" s="9" t="s">
        <v>20</v>
      </c>
      <c r="H59" s="9" t="s">
        <v>20</v>
      </c>
      <c r="I59" s="9" t="s">
        <v>20</v>
      </c>
      <c r="J59" s="9" t="s">
        <v>20</v>
      </c>
      <c r="K59" s="9" t="s">
        <v>20</v>
      </c>
      <c r="L59" s="9" t="s">
        <v>20</v>
      </c>
      <c r="M59" s="9" t="s">
        <v>20</v>
      </c>
    </row>
    <row r="60" spans="1:13" x14ac:dyDescent="0.25">
      <c r="A60" s="9" t="s">
        <v>7</v>
      </c>
      <c r="B60" s="8">
        <v>0.11373</v>
      </c>
      <c r="C60" s="8">
        <v>0.21772</v>
      </c>
      <c r="D60" s="8">
        <v>0.12005</v>
      </c>
      <c r="E60" s="8">
        <v>0.25491000000000003</v>
      </c>
      <c r="F60" s="8">
        <v>0.12531</v>
      </c>
      <c r="G60" s="8">
        <v>0.18264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</row>
    <row r="61" spans="1:13" x14ac:dyDescent="0.25">
      <c r="A61" s="9" t="s">
        <v>8</v>
      </c>
      <c r="B61" s="8">
        <v>0.14909</v>
      </c>
      <c r="C61" s="8">
        <v>0.11781</v>
      </c>
      <c r="D61" s="8">
        <v>8.7830000000000005E-2</v>
      </c>
      <c r="E61" s="8">
        <v>9.7145999999999996E-2</v>
      </c>
      <c r="F61" s="8">
        <v>0.15201000000000001</v>
      </c>
      <c r="G61" s="9" t="s">
        <v>20</v>
      </c>
      <c r="H61" s="9" t="s">
        <v>20</v>
      </c>
      <c r="I61" s="9" t="s">
        <v>20</v>
      </c>
      <c r="J61" s="9" t="s">
        <v>20</v>
      </c>
      <c r="K61" s="9" t="s">
        <v>20</v>
      </c>
      <c r="L61" s="9" t="s">
        <v>20</v>
      </c>
      <c r="M61" s="9" t="s">
        <v>20</v>
      </c>
    </row>
    <row r="62" spans="1:13" x14ac:dyDescent="0.25">
      <c r="A62" s="9" t="s">
        <v>9</v>
      </c>
      <c r="B62" s="8">
        <v>0.19095000000000001</v>
      </c>
      <c r="C62" s="8">
        <v>0.14269999999999999</v>
      </c>
      <c r="D62" s="8">
        <v>9.0762999999999996E-2</v>
      </c>
      <c r="E62" s="8">
        <v>0.13825000000000001</v>
      </c>
      <c r="F62" s="8">
        <v>0.21959999999999999</v>
      </c>
      <c r="G62" s="8">
        <v>3.4339</v>
      </c>
      <c r="H62" s="9" t="s">
        <v>20</v>
      </c>
      <c r="I62" s="9" t="s">
        <v>20</v>
      </c>
      <c r="J62" s="9" t="s">
        <v>20</v>
      </c>
      <c r="K62" s="9" t="s">
        <v>20</v>
      </c>
      <c r="L62" s="9" t="s">
        <v>20</v>
      </c>
      <c r="M62" s="9" t="s">
        <v>20</v>
      </c>
    </row>
    <row r="63" spans="1:13" x14ac:dyDescent="0.25">
      <c r="A63" s="9" t="s">
        <v>83</v>
      </c>
    </row>
    <row r="64" spans="1:13" x14ac:dyDescent="0.25">
      <c r="A64" s="9" t="s">
        <v>21</v>
      </c>
    </row>
    <row r="65" spans="1:1" x14ac:dyDescent="0.25">
      <c r="A65" s="9" t="s">
        <v>22</v>
      </c>
    </row>
    <row r="66" spans="1:1" x14ac:dyDescent="0.25">
      <c r="A66" s="9" t="s">
        <v>84</v>
      </c>
    </row>
    <row r="67" spans="1:1" x14ac:dyDescent="0.25">
      <c r="A67" s="9" t="s">
        <v>85</v>
      </c>
    </row>
    <row r="68" spans="1:1" x14ac:dyDescent="0.25">
      <c r="A68" s="9" t="s">
        <v>23</v>
      </c>
    </row>
    <row r="69" spans="1:1" x14ac:dyDescent="0.25">
      <c r="A69" s="9" t="s">
        <v>24</v>
      </c>
    </row>
    <row r="70" spans="1:1" x14ac:dyDescent="0.25">
      <c r="A70" s="9" t="s">
        <v>25</v>
      </c>
    </row>
    <row r="72" spans="1:1" x14ac:dyDescent="0.25">
      <c r="A72" s="9" t="s">
        <v>26</v>
      </c>
    </row>
    <row r="73" spans="1:1" x14ac:dyDescent="0.25">
      <c r="A73" s="9" t="s">
        <v>27</v>
      </c>
    </row>
    <row r="74" spans="1:1" x14ac:dyDescent="0.25">
      <c r="A74" s="9" t="s">
        <v>28</v>
      </c>
    </row>
    <row r="75" spans="1:1" x14ac:dyDescent="0.25">
      <c r="A75" s="9" t="s">
        <v>29</v>
      </c>
    </row>
    <row r="76" spans="1:1" x14ac:dyDescent="0.25">
      <c r="A76" s="9" t="s">
        <v>30</v>
      </c>
    </row>
    <row r="77" spans="1:1" x14ac:dyDescent="0.25">
      <c r="A77" s="9" t="s">
        <v>31</v>
      </c>
    </row>
    <row r="78" spans="1:1" x14ac:dyDescent="0.25">
      <c r="A78" s="9" t="s">
        <v>32</v>
      </c>
    </row>
    <row r="79" spans="1:1" x14ac:dyDescent="0.25">
      <c r="A79" s="9" t="s">
        <v>33</v>
      </c>
    </row>
    <row r="80" spans="1:1" x14ac:dyDescent="0.25">
      <c r="A80" s="9" t="s">
        <v>34</v>
      </c>
    </row>
    <row r="81" spans="1:1" x14ac:dyDescent="0.25">
      <c r="A81" s="9" t="s">
        <v>35</v>
      </c>
    </row>
    <row r="82" spans="1:1" x14ac:dyDescent="0.25">
      <c r="A82" s="9" t="s">
        <v>36</v>
      </c>
    </row>
    <row r="83" spans="1:1" x14ac:dyDescent="0.25">
      <c r="A83" s="9" t="s">
        <v>37</v>
      </c>
    </row>
    <row r="84" spans="1:1" x14ac:dyDescent="0.25">
      <c r="A84" s="9" t="s">
        <v>38</v>
      </c>
    </row>
    <row r="85" spans="1:1" x14ac:dyDescent="0.25">
      <c r="A85" s="9" t="s">
        <v>39</v>
      </c>
    </row>
    <row r="86" spans="1:1" x14ac:dyDescent="0.25">
      <c r="A86" s="9" t="s">
        <v>86</v>
      </c>
    </row>
  </sheetData>
  <conditionalFormatting sqref="AD5">
    <cfRule type="cellIs" dxfId="23" priority="22" operator="between">
      <formula>2</formula>
      <formula>3</formula>
    </cfRule>
    <cfRule type="cellIs" dxfId="22" priority="23" operator="lessThan">
      <formula>2</formula>
    </cfRule>
    <cfRule type="cellIs" dxfId="21" priority="24" operator="greaterThan">
      <formula>3</formula>
    </cfRule>
  </conditionalFormatting>
  <conditionalFormatting sqref="AD9">
    <cfRule type="cellIs" dxfId="20" priority="20" operator="lessThan">
      <formula>10</formula>
    </cfRule>
    <cfRule type="cellIs" dxfId="19" priority="21" operator="greaterThan">
      <formula>10</formula>
    </cfRule>
  </conditionalFormatting>
  <conditionalFormatting sqref="P5:AA12">
    <cfRule type="cellIs" dxfId="18" priority="17" operator="between">
      <formula>$AD$8</formula>
      <formula>$AD$7</formula>
    </cfRule>
    <cfRule type="cellIs" dxfId="17" priority="18" operator="lessThan">
      <formula>$AD$8</formula>
    </cfRule>
    <cfRule type="cellIs" dxfId="16" priority="19" operator="greaterThan">
      <formula>$AD$7</formula>
    </cfRule>
  </conditionalFormatting>
  <conditionalFormatting sqref="AD15">
    <cfRule type="cellIs" dxfId="15" priority="14" operator="between">
      <formula>2</formula>
      <formula>3</formula>
    </cfRule>
    <cfRule type="cellIs" dxfId="14" priority="15" operator="lessThan">
      <formula>2</formula>
    </cfRule>
    <cfRule type="cellIs" dxfId="13" priority="16" operator="greaterThan">
      <formula>3</formula>
    </cfRule>
  </conditionalFormatting>
  <conditionalFormatting sqref="AD19">
    <cfRule type="cellIs" dxfId="12" priority="12" operator="lessThan">
      <formula>10</formula>
    </cfRule>
    <cfRule type="cellIs" dxfId="11" priority="13" operator="greaterThan">
      <formula>10</formula>
    </cfRule>
  </conditionalFormatting>
  <conditionalFormatting sqref="P15:AA22">
    <cfRule type="cellIs" dxfId="10" priority="9" operator="between">
      <formula>$AD$8</formula>
      <formula>$AD$7</formula>
    </cfRule>
    <cfRule type="cellIs" dxfId="9" priority="10" operator="lessThan">
      <formula>$AD$8</formula>
    </cfRule>
    <cfRule type="cellIs" dxfId="8" priority="11" operator="greaterThan">
      <formula>$AD$7</formula>
    </cfRule>
  </conditionalFormatting>
  <conditionalFormatting sqref="AD25">
    <cfRule type="cellIs" dxfId="7" priority="6" operator="between">
      <formula>2</formula>
      <formula>3</formula>
    </cfRule>
    <cfRule type="cellIs" dxfId="6" priority="7" operator="lessThan">
      <formula>2</formula>
    </cfRule>
    <cfRule type="cellIs" dxfId="5" priority="8" operator="greaterThan">
      <formula>3</formula>
    </cfRule>
  </conditionalFormatting>
  <conditionalFormatting sqref="AD29">
    <cfRule type="cellIs" dxfId="4" priority="4" operator="lessThan">
      <formula>10</formula>
    </cfRule>
    <cfRule type="cellIs" dxfId="3" priority="5" operator="greaterThan">
      <formula>10</formula>
    </cfRule>
  </conditionalFormatting>
  <conditionalFormatting sqref="P25:AA32">
    <cfRule type="cellIs" dxfId="2" priority="1" operator="between">
      <formula>$AD$8</formula>
      <formula>$AD$7</formula>
    </cfRule>
    <cfRule type="cellIs" dxfId="1" priority="2" operator="lessThan">
      <formula>$AD$8</formula>
    </cfRule>
    <cfRule type="cellIs" dxfId="0" priority="3" operator="greaterThan">
      <formula>$AD$7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TEST1</vt:lpstr>
      <vt:lpstr>TEST2</vt:lpstr>
      <vt:lpstr>TEST3</vt:lpstr>
      <vt:lpstr>TEST4</vt:lpstr>
      <vt:lpstr>TEST5</vt:lpstr>
    </vt:vector>
  </TitlesOfParts>
  <Company>The 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</dc:creator>
  <cp:lastModifiedBy>Ana Agua-Doce</cp:lastModifiedBy>
  <dcterms:created xsi:type="dcterms:W3CDTF">2020-06-26T15:33:11Z</dcterms:created>
  <dcterms:modified xsi:type="dcterms:W3CDTF">2020-07-07T14:56:55Z</dcterms:modified>
</cp:coreProperties>
</file>